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tumde-my.sharepoint.com/personal/farzad_zandi_tum_de/Documents/2. Education/Sem III/Meta-Analysis in Management Research/Project/"/>
    </mc:Choice>
  </mc:AlternateContent>
  <xr:revisionPtr revIDLastSave="2818" documentId="8_{0192D835-1C1C-451C-BB99-D235238786C6}" xr6:coauthVersionLast="47" xr6:coauthVersionMax="47" xr10:uidLastSave="{7C7B8793-9E1A-44EF-BDF6-38342C87C20F}"/>
  <bookViews>
    <workbookView xWindow="-110" yWindow="-110" windowWidth="29020" windowHeight="18700" activeTab="1" xr2:uid="{00000000-000D-0000-FFFF-FFFF00000000}"/>
  </bookViews>
  <sheets>
    <sheet name="Last Screening" sheetId="1" r:id="rId1"/>
    <sheet name="Articles Select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N44" i="2"/>
  <c r="M44" i="2"/>
  <c r="X44" i="2"/>
  <c r="W44" i="2"/>
  <c r="V44" i="2"/>
  <c r="S44" i="2"/>
  <c r="Q44" i="2"/>
  <c r="J44" i="2"/>
  <c r="I44" i="2"/>
  <c r="H44" i="2"/>
  <c r="E44" i="2"/>
  <c r="D44" i="2"/>
  <c r="C28" i="1"/>
  <c r="C24" i="1"/>
  <c r="C18" i="1"/>
  <c r="C2" i="1"/>
  <c r="C3" i="1"/>
  <c r="C4" i="1"/>
  <c r="C5" i="1"/>
  <c r="C6" i="1"/>
  <c r="C7" i="1"/>
  <c r="C8" i="1"/>
  <c r="C9" i="1"/>
  <c r="C10" i="1"/>
  <c r="C11" i="1"/>
  <c r="C12" i="1"/>
  <c r="C13" i="1"/>
  <c r="C14" i="1"/>
  <c r="C15"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F44" i="2"/>
</calcChain>
</file>

<file path=xl/sharedStrings.xml><?xml version="1.0" encoding="utf-8"?>
<sst xmlns="http://schemas.openxmlformats.org/spreadsheetml/2006/main" count="1900" uniqueCount="942">
  <si>
    <t>Study</t>
  </si>
  <si>
    <t>Include? (Y/N)</t>
  </si>
  <si>
    <t>Year</t>
  </si>
  <si>
    <t>Journal Name</t>
  </si>
  <si>
    <t>Journal eigenvalues</t>
  </si>
  <si>
    <t>Sample size</t>
  </si>
  <si>
    <t>Sample size Comments</t>
  </si>
  <si>
    <t>response rate (%)</t>
  </si>
  <si>
    <t>response rate Comments</t>
  </si>
  <si>
    <t>Firm size Categoried</t>
  </si>
  <si>
    <t>Firm size Numerized</t>
  </si>
  <si>
    <t>Firm size Comment</t>
  </si>
  <si>
    <t>Firm age (Weight. Avg)</t>
  </si>
  <si>
    <t>Firm age Comment</t>
  </si>
  <si>
    <t>Year of Data Collection</t>
  </si>
  <si>
    <t>Year of data collection Comment</t>
  </si>
  <si>
    <t>Country</t>
  </si>
  <si>
    <t>Country comments</t>
  </si>
  <si>
    <t>Continent)</t>
  </si>
  <si>
    <t>Cultural Index [Hofstede]</t>
  </si>
  <si>
    <t>Industry comment</t>
  </si>
  <si>
    <t>Industrial Cluster</t>
  </si>
  <si>
    <t>Sample Characteristics Comments</t>
  </si>
  <si>
    <t>Data source (Primary, Secondary)</t>
  </si>
  <si>
    <t>Data Source Comments</t>
  </si>
  <si>
    <t>Absorptive Capacity (AC) Measure</t>
  </si>
  <si>
    <t>Absorptive Capacity (AC) # of Items</t>
  </si>
  <si>
    <t>Absorptive Capacity (AC) Type of Measure</t>
  </si>
  <si>
    <t>Absorptive Capacity (AC) (α, CR)</t>
  </si>
  <si>
    <t>Absorptive Capacity (AC) (α, CR) Comments</t>
  </si>
  <si>
    <t xml:space="preserve">Perf Measure </t>
  </si>
  <si>
    <t>Perf Type of Measure</t>
  </si>
  <si>
    <t>Perf Measure # of items</t>
  </si>
  <si>
    <t>Perf (α, CR)</t>
  </si>
  <si>
    <t>Perf (α, CR) Comments</t>
  </si>
  <si>
    <t>AC - Perf Coeff. (Corr, ß)</t>
  </si>
  <si>
    <t>AC - Perf Coeff. (Corr, ß) Comments</t>
  </si>
  <si>
    <t>Moderators</t>
  </si>
  <si>
    <t>Comments</t>
  </si>
  <si>
    <t>Aboelmaged &amp; Hashem. 2019</t>
  </si>
  <si>
    <t>N</t>
  </si>
  <si>
    <t>Journal of Cleaner Production</t>
  </si>
  <si>
    <t>193 usable responses out of 400 distributed questionnaires</t>
  </si>
  <si>
    <t>(193/400)</t>
  </si>
  <si>
    <t>SM</t>
  </si>
  <si>
    <t>170  small-sized, 23 medium sized</t>
  </si>
  <si>
    <t>Surveys distributed using 2018 SME database</t>
  </si>
  <si>
    <t>Egypt</t>
  </si>
  <si>
    <t>Developing economy context</t>
  </si>
  <si>
    <t>Africa</t>
  </si>
  <si>
    <t>Food, beverages, and catering, Furniture and upholstering, Textiles and apparel, Machinery and repairs, Plastics, Metal products, Travel and tourism, Professional services</t>
  </si>
  <si>
    <t>Mixed</t>
  </si>
  <si>
    <t>Homogeneous in industry and size; key informants used</t>
  </si>
  <si>
    <t xml:space="preserve">Primary </t>
  </si>
  <si>
    <t>Questionnaire-based survey</t>
  </si>
  <si>
    <t>Absortive Capacity (Zacharia et al., 2011)</t>
  </si>
  <si>
    <t>reflective</t>
  </si>
  <si>
    <t>Good internal reliability and construct validity
α = 0.89, CR = 0.91</t>
  </si>
  <si>
    <t xml:space="preserve">Green Innovation Adoption </t>
  </si>
  <si>
    <t>High reliability
α = 0.85, CR = 0.89</t>
  </si>
  <si>
    <t>Significant positive effect
β = 0.341, p &lt; 0.001</t>
  </si>
  <si>
    <t>Sustainable orientation, collaboration, human capital (partial mediation)</t>
  </si>
  <si>
    <t>Sustainable orientation and collaboration mediate AC's effect on green innovation; human capital not significant</t>
  </si>
  <si>
    <t>Alegre &amp; Chiva 2013</t>
  </si>
  <si>
    <t>Y</t>
  </si>
  <si>
    <t>Journal of Small Business Management</t>
  </si>
  <si>
    <t>182 responses from Italian and Spanish ceramic tile firms</t>
  </si>
  <si>
    <t>Represents about 50% of target population</t>
  </si>
  <si>
    <t xml:space="preserve">SML </t>
  </si>
  <si>
    <t>44 small enterprises, 105 medium enterprises, 
33 large enterprises</t>
  </si>
  <si>
    <t>June - November 2004</t>
  </si>
  <si>
    <t>Cross-country</t>
  </si>
  <si>
    <t>Italy &amp; Spain</t>
  </si>
  <si>
    <t>Europe</t>
  </si>
  <si>
    <t>Ceramic tiles producers</t>
  </si>
  <si>
    <t>Manufacturing</t>
  </si>
  <si>
    <t>Focus on industry-specific dynamics, High response rate</t>
  </si>
  <si>
    <t>Primary</t>
  </si>
  <si>
    <t>Survey with general/product development/HR managers</t>
  </si>
  <si>
    <t>Organizational Learning Capability</t>
  </si>
  <si>
    <t>Calcualted by the mean of the five underlying constructs of OLC.</t>
  </si>
  <si>
    <t>Firm Perfroamce</t>
  </si>
  <si>
    <t>Very high reliability
α = 0.93 (growth) 
α = 0.92 (profitability)</t>
  </si>
  <si>
    <t>Full mediation by OLC and innovation performance
OLC → Firm Perf: β = 0.30 Innovation Perf → Firm Perf: β = 0.55</t>
  </si>
  <si>
    <t>Reflective model; OLC and innovation performance mediate EO → Firm Performance</t>
  </si>
  <si>
    <t>Ali et al. 2020</t>
  </si>
  <si>
    <t>Industrial Marketing Management</t>
  </si>
  <si>
    <t>163 valid responses from international SMEs in Saudi Arabia</t>
  </si>
  <si>
    <t>163 responses from 285 distributed surveys</t>
  </si>
  <si>
    <t>Most firms under 200 employees</t>
  </si>
  <si>
    <t>Age 29 or less: 68
30–39: 51
40–49: 26
50 or older: 18</t>
  </si>
  <si>
    <t>Survey collected after June 2019</t>
  </si>
  <si>
    <t>Saudi Arabia</t>
  </si>
  <si>
    <t>Data from international SMEs operating in Saudi Arabia</t>
  </si>
  <si>
    <t>Asia</t>
  </si>
  <si>
    <t>Manufacturing, Service business, Financial and insurance activities, Information and communication, Construction, Distribution/logistics</t>
  </si>
  <si>
    <t>Data from SMEs across multiple sectors and ownership types</t>
  </si>
  <si>
    <t>Questionnaire-based survey of SME managers</t>
  </si>
  <si>
    <t>Absortive Capacity (Adapted from Schweisfurth &amp; Raasch (2018), based on Zahra &amp; George (2002))</t>
  </si>
  <si>
    <t>formative</t>
  </si>
  <si>
    <t>The ACAP measurement scale was adapted from the work of Schweisfurth and Raasch (2018).
6 Need-Knowledge ACAP &amp; 6 Solution-Knowledge ACAP
Based on Schweisfurth and Raasch (2018), and Lowik et al. (2012)
Need-Knowledge ACAP: α = 0.72, CR = 0.81
Solution-Knowledge ACAP: α = 0.76, CR = 0.87
α = 0.71–0.76, CR = 0.70–0.79</t>
  </si>
  <si>
    <t>Overall performance (market share, growth rate, profitability)</t>
  </si>
  <si>
    <t>Good reliability
α = 0.78, CR = 0.89</t>
  </si>
  <si>
    <t>Significant positive association between ACAP and performance
β = 0.39, p &lt; 0.001</t>
  </si>
  <si>
    <t>Strength of ties with local SMEs, prior success experiences of local SMEs</t>
  </si>
  <si>
    <t>ACAP modeled as second-order formative; strong theoretical and empirical support for structure</t>
  </si>
  <si>
    <t>Alshahrani  Salam. 2022</t>
  </si>
  <si>
    <t>Journal of Research in Marketing and Entrepreneurship</t>
  </si>
  <si>
    <t>366 valid responses after removing 24 unusable surveys</t>
  </si>
  <si>
    <t>There is no mention of the population of the study and the ratio of sample to population or any other.</t>
  </si>
  <si>
    <t>[Abstract] …  in small and medium enterprises (SMEs) in the Kingdom of Saudi Arabia (KSA) as an emerging economy.</t>
  </si>
  <si>
    <t>Calcuculted by the weightened mean of the data:
Less than five years: 113
5 – Less than 10 years: 149
10 –Less than 15 years: 86
Above 15 years: 18</t>
  </si>
  <si>
    <t>Calculated through year of pub minus 2</t>
  </si>
  <si>
    <t>A random sample was selected from workers in the SMEs in Saudi Arabia…</t>
  </si>
  <si>
    <t>there was no information on the industry of the SMEs, so we assume it is mixed industry</t>
  </si>
  <si>
    <t>Various industries; not industry-specific</t>
  </si>
  <si>
    <t>Self-administered online survey</t>
  </si>
  <si>
    <t>Absorptive capacity</t>
  </si>
  <si>
    <t>7 items for two dimensions: acquisition &amp; assimilation… Based on Flatten and Brettel (2011)
α = 0.792, CR = 0.623</t>
  </si>
  <si>
    <t>Firm's performance</t>
  </si>
  <si>
    <t>High reliability and validity, reflective measurement confirmed by CFA</t>
  </si>
  <si>
    <t>AC fully mediates EO → FP relationship; significant positive effect</t>
  </si>
  <si>
    <t>Both AC and performance modeled as reflective constructs; EO–FP link mediated by AC</t>
  </si>
  <si>
    <t>Altinay et al. 2016</t>
  </si>
  <si>
    <t xml:space="preserve">By the cutoff date for data collection, a total number of 350 questionnaires were personally retrieved, yielding a response rate of 87.5 percent. </t>
  </si>
  <si>
    <t>350 responses out of 400 distributed surveys</t>
  </si>
  <si>
    <t>S</t>
  </si>
  <si>
    <t>The mean of number of employees was 10.7.</t>
  </si>
  <si>
    <t>The oldest firm in our sample was 40 years old while the mean organizational age for the sample was 10 years.</t>
  </si>
  <si>
    <t>Firm age calculated from difference with 2011; survey year mentioned</t>
  </si>
  <si>
    <t>Cyprus</t>
  </si>
  <si>
    <t>...data collected from SME owners in Northern Cyprus...</t>
  </si>
  <si>
    <t xml:space="preserve">data collected from SME owners in Northern Cyprus services and retail organizations including hotels, restaurants, rent-a-car, gift shops, retail shops, cafes, and travel agencies. </t>
  </si>
  <si>
    <t>Services</t>
  </si>
  <si>
    <t>57% of responding firms were family-owned, 83% had fewer than 10 employees</t>
  </si>
  <si>
    <t>Self-administered questionnaires delivered in person</t>
  </si>
  <si>
    <t>organizational learning capability</t>
  </si>
  <si>
    <t xml:space="preserve">we adopt the scale of JerezGomez, Cespedes-Lorente, and Valle-Cabrera (2005), where the OLC construct consists of 16 variables (measured on a seven-point Likert scale)
Both constructs had an acceptable internal consistency based on the 0.70 threshold </t>
  </si>
  <si>
    <t>Growth</t>
  </si>
  <si>
    <t xml:space="preserve"> The measurement of growth consists of sales growth, market share growth, and employment growth.
individual reliability scores (α, CR) not explicitly reported for performance measures,  as they are treated as manifest variables rather than latent constructs in SEM.</t>
  </si>
  <si>
    <t>Calculate dby the mean of the correlations of the three underlying criteria for Growth with OLC</t>
  </si>
  <si>
    <t>EO and OLC modeled as reflective; OLC positively affects EO, which in turn influences growth</t>
  </si>
  <si>
    <t>Armario et al. 2008</t>
  </si>
  <si>
    <t xml:space="preserve">A total of only 112 valid responses was received, despite the best efforts of researchers engaged in the field study. </t>
  </si>
  <si>
    <t xml:space="preserve">The final sample included 1,483 companies. These were targeted through a self-administered survey. </t>
  </si>
  <si>
    <t>had more than 20 employees</t>
  </si>
  <si>
    <t>Data collection was by means of a mail survey addressed to “foreign market managers” during March and April of 2003.</t>
  </si>
  <si>
    <t>Spain</t>
  </si>
  <si>
    <t xml:space="preserve">a multiindustry sample of SMEs that were operating in foreign markets from their base in Andalusia—an underdeveloped region in the south of Spain </t>
  </si>
  <si>
    <t xml:space="preserve">Of the final sample, 47.1 percent of the SMEs were engaged in food/agriculture, 24.5 percent in consumer goods, and 28.4 percent in industrial goods. </t>
  </si>
  <si>
    <t>Multi-industry sample of Spanish SMEs operating in foreign markets.</t>
  </si>
  <si>
    <t>knowledge acquisition</t>
  </si>
  <si>
    <t>In the present study, KA was estimated with a five-item scale adapted from Eriksson et al. 
(Alpha = 0.921; AEV = 0.760; Comp. Reliab. = 0.940)</t>
  </si>
  <si>
    <t>Foreign-Market Performance</t>
  </si>
  <si>
    <t>(Alpha = 0.765; AEV = 0.570; Comp. Reliab. = 0.830)
(sales, profits, sales growth, and profits growth, success rate in new product)
 α = 0.765, CR = 0830</t>
  </si>
  <si>
    <t>Direct positive relationship exists between MO and a strategy of internationalization, and that the effect of MO on performance in foreign markets is moderated by KA and MC.</t>
  </si>
  <si>
    <t>Ato Sarsah et al. 2020</t>
  </si>
  <si>
    <t>Journal of Strategy and Management</t>
  </si>
  <si>
    <t xml:space="preserve">141 small-sized, 216 medium sized
</t>
  </si>
  <si>
    <t>14.74</t>
  </si>
  <si>
    <t>Ghana</t>
  </si>
  <si>
    <t>Food and beverages,
pharmaceutical and medical, agricultural, metal and engineering, rubber and plastics, wood
and furniture and electronics</t>
  </si>
  <si>
    <t xml:space="preserve">Respondents were executives (e.g., CEOs, general managers).
All firms had between 6 and 99 employees. </t>
  </si>
  <si>
    <t>Absorptive Capacity</t>
  </si>
  <si>
    <t>2 items for PAC (acquisition, assimilation) and RAC (transformation, exploitation)
Based on Jansen et al.(2005)</t>
  </si>
  <si>
    <t>PAC: α = 0.780, CR = 0.744; RAC: α = 0.854, CR = 0.868</t>
  </si>
  <si>
    <t>Radical Innvation Performance</t>
  </si>
  <si>
    <t>Shih (2018)</t>
  </si>
  <si>
    <t>AC Ambidexterity → RIP: β = 0.463</t>
  </si>
  <si>
    <t>The paper has irrelevant IV/DV.</t>
  </si>
  <si>
    <t>Bagnoli &amp; Vedovato. 2014</t>
  </si>
  <si>
    <t>Journal of Management &amp; Governance</t>
  </si>
  <si>
    <t>SMEs with an average of 16 employees</t>
  </si>
  <si>
    <t xml:space="preserve">Italy </t>
  </si>
  <si>
    <t xml:space="preserve">Manufacturing </t>
  </si>
  <si>
    <t>Data collected based mostly on perceptual measures (Likert scale from 1 to 5)</t>
  </si>
  <si>
    <t>The paper uses as irrelevant method, a configuration/interactive approach, and hence, in excluded, despite having the Ivs and DVs.</t>
  </si>
  <si>
    <t>Benhayoun et al. 2021</t>
  </si>
  <si>
    <t>Journal of Manufacturing Technology Management</t>
  </si>
  <si>
    <t>small-sized (up to 50 employees)</t>
  </si>
  <si>
    <t>France</t>
  </si>
  <si>
    <t>Electronics, Mechanics, Information Technology, Textile, Precision Mechanics, Pharmacy</t>
  </si>
  <si>
    <t>All firms are SMEs involved in collaborative innovation networks (CNs). Focused on innovation through AC in CNs.</t>
  </si>
  <si>
    <t>α = 0.851, CR = 0.885
Zahra &amp; George (2002); adapted from Jansen et al., Flatten et al., Chauvet, Jiménez-Barrionuevo
21 items (Average of 4 AC dimensions)</t>
  </si>
  <si>
    <t>Innovation performance</t>
  </si>
  <si>
    <t>They cite Yang's validated scale</t>
  </si>
  <si>
    <t>Yang (2012); based on Wang &amp; Ahmed (2004) [Innovation Performance]</t>
  </si>
  <si>
    <t>Corr (r) = 0.755; β = 0.553 (OP_RACAP → Perf)</t>
  </si>
  <si>
    <t>Che Nawi et al. 2020</t>
  </si>
  <si>
    <t>Sustainability</t>
  </si>
  <si>
    <t>213 SMEs</t>
  </si>
  <si>
    <t>June - August 2019</t>
  </si>
  <si>
    <t>Malaysia</t>
  </si>
  <si>
    <t>Batik industry, a traditional textile and handicraft sector</t>
  </si>
  <si>
    <t xml:space="preserve">58.7% male, 41.3% female. Majority between 31–40 years </t>
  </si>
  <si>
    <t>Based on Agostini et al. (2017)</t>
  </si>
  <si>
    <t>Economic Sustainability; adapted from Ferro et al. (2019)</t>
  </si>
  <si>
    <t xml:space="preserve">ß = 0.193, p-value = 0.003 </t>
  </si>
  <si>
    <t xml:space="preserve">We did not included this paper, as it is published in the Sustainability journal.
</t>
  </si>
  <si>
    <t>Chen et al. 2009</t>
  </si>
  <si>
    <t>There were 106 valid and 18 invalid questionnaires, and the effective response rate was 21.2%.</t>
  </si>
  <si>
    <t xml:space="preserve">the sample was randomly selected from “2006 Business Directory of Taiwan </t>
  </si>
  <si>
    <t>Taiwan</t>
  </si>
  <si>
    <t>Consumer electronics and electronic component, Optoelectronics and communication, Biotechnology and medical, Food, Textile</t>
  </si>
  <si>
    <t>Five-point Likert scale; different managers answered different parts to reduce common method bias</t>
  </si>
  <si>
    <t>Based on Cohen &amp; Levinthal (1990); Daghfous (2004)
α = 0.798, ,CR = N/A, AVE = 0.621</t>
  </si>
  <si>
    <t>Corporate competitive advantage</t>
  </si>
  <si>
    <t>Cordero, 1990; Utterback &amp; Abernathy, 1975)
α: 0.828, AVE = 0.521</t>
  </si>
  <si>
    <t>ß = 0.54, Corr = 0.596 (p &lt; 0.01)</t>
  </si>
  <si>
    <t>Both relationship learning and absorptive capacity have significant positive effects on innovation performance, which in turn positively influences competitive advantage.</t>
  </si>
  <si>
    <t>DeNoni &amp; Apa. 2015</t>
  </si>
  <si>
    <t>Journal of International Entrepreneurship</t>
  </si>
  <si>
    <t>n total, 311 complete and usable questionnaires were returned.</t>
  </si>
  <si>
    <t>No information shared on the response reate</t>
  </si>
  <si>
    <t>131 micro, 167 small, 13 medium
over 90% were from micro and
small1 enterprises.</t>
  </si>
  <si>
    <t>19.63</t>
  </si>
  <si>
    <t>Data were collected as part of Regional Repertoire of Excellent Enterprises Initiative, realised in 2007 by CNA Emilia Romagna</t>
  </si>
  <si>
    <t>Italy</t>
  </si>
  <si>
    <t>most firms belong to the manufacturing industry sector (over 60%), followed by construction (17%). The industrial category “other” (20.6%) comprises mainly the wholesale and retail trade (9.6%) and financial assets (7%)</t>
  </si>
  <si>
    <t>Firms are diverse in size and industry but mostly small manufacturing firms</t>
  </si>
  <si>
    <t>Learning Orientation</t>
  </si>
  <si>
    <t xml:space="preserve">Based on Grant, 2008 for Exploitative Learning / Kim &amp; Atuahene-Gima, 2010; Li et al., 2014 for Exploratory Learning
Exploitative learning and Exploratory learning: the values of 0.76 for the first group and 0.78 for the second one confirm the soundness of the constructs. </t>
  </si>
  <si>
    <t>Business Performance</t>
  </si>
  <si>
    <t>we retain the ratio of foreign sales on total turnover is to be considered a good proxy of SMEs’ international involvement and commitment.</t>
  </si>
  <si>
    <t>Calculated by the mean of the correlation of tPerf measure with the two constrcuts of LO.</t>
  </si>
  <si>
    <t>The authors measure absorptive capacity through exploitative and exploratory learning. Only exploratory learning significantly moderates the internationalisation–performance link (β = 0.246, p &lt; 0.01).</t>
  </si>
  <si>
    <t>Ding et al. 2023</t>
  </si>
  <si>
    <t>Management Decision</t>
  </si>
  <si>
    <t xml:space="preserve">(1) Based on the sample pool of firms provided by the market research firm, a sample of 1,000 firms was selected using random sampling. (2) These 1,000 sample enterprises were contacted by email or telephone to solicit their cooperation, and 350 enterprises responded and agreed to participate in the cooperation. </t>
  </si>
  <si>
    <t>(3) A questionnaire survey was conducted by the enterprises that agreed to cooperate and finally collected 302 questionnaires. (4) According to the screening criteria of SMEs, a total of 189 valid questionnaires were screened out.</t>
  </si>
  <si>
    <t>Calculated through the weighted avrage of firm scale:
Firm scale 
1-100 people 64 
101–200 people 25
201–300 people 20
301–400 people 45
401-500 people 35</t>
  </si>
  <si>
    <t>13.534</t>
  </si>
  <si>
    <t>Calculated by the weighthed average of firm age:
Firm age &lt;5 year 25
5–10 year 66
11–15 year 35
More than 15 years 63</t>
  </si>
  <si>
    <t>2022</t>
  </si>
  <si>
    <t>Regarding data collection for the formal questionnaire survey, we commissioned a national market research firm in April 2022, which is considered the preferred method for obtaining reliable and valid data in emerging economies</t>
  </si>
  <si>
    <t>China</t>
  </si>
  <si>
    <t>We employed a survey to collect data to test our hypotheses. China …</t>
  </si>
  <si>
    <t>High-tech, Non high-tech</t>
  </si>
  <si>
    <t>Wide geographic spread: firms from 26 provinces including Beijing, Shanghai, Guangdong, etc. Represents a diverse cross-section of Chinese SMEs.
the SMEs we selected meet the following criteria: (1) they are independently owned and operated businesses and (2) they have fewer than 500 employees.</t>
  </si>
  <si>
    <t>Based on Jansen et al. (2005)
we used CR=0.863</t>
  </si>
  <si>
    <t>SME survival performance</t>
  </si>
  <si>
    <t>Ciavarella et al. (2004) / Split into two sub-dimensions: Survival Performance and Growth Performance
α for Survival = 0.765, CR = N/A
α for Growth = 0.918, CR = 0.926</t>
  </si>
  <si>
    <t>Examine how absorptive capacity mediates the effect of Exploratory learning &amp; Exploitative learning on Survival performance &amp; Growth performance</t>
  </si>
  <si>
    <t>Ferraris et al. 2019</t>
  </si>
  <si>
    <t>The useable sample size was 88, and the effective response rate was 55.3 per cent</t>
  </si>
  <si>
    <t>All the firms in our sample are SMEs according to the definition of the Organisation for Economic Co-operation and Development (OECD, 2005), characterised by a number of employees up to 249 and a turnover of up to 50m euro. More specifically, SMEs participating in our analysis have employees ranging from about 80 to 230, and revenues ranging from 28 to 45m euro</t>
  </si>
  <si>
    <t>Not mentioned, so we calculated by year of pub - 2.</t>
  </si>
  <si>
    <t>First, we identified a total of 159 Italian firms that are members of a national association for BDA</t>
  </si>
  <si>
    <t>Various industries</t>
  </si>
  <si>
    <t>Italian SMEs with 80–230 employees and €28–45M turnover; pioneers in BDA</t>
  </si>
  <si>
    <t>Knowledge Acquisition</t>
  </si>
  <si>
    <t>Regarding the knowledge acquisition scale, we used different items: KAF1. Organisation values employees’ attitudes and opinions … KAF6. Organisation gets information from market surveys. 
The average value was
used when constructing the variable KM orientation (Cronbach’s α = 0.89).</t>
  </si>
  <si>
    <t xml:space="preserve">we asked our respondents the extent to which “Using analytics improved _____ during the last three years relative to competitors” with regard to customer retention, sales growth, profitability, and return on investment…
</t>
  </si>
  <si>
    <t>The study did not include explicit moderators in their structural equation model. However, they controlled for certain variables that could influence firm performance, which may be moderators.</t>
  </si>
  <si>
    <t>Ferreras-Méndez et al. 2019</t>
  </si>
  <si>
    <t>Management International Review</t>
  </si>
  <si>
    <t>A total of 250 exporting SMEs agreed to participate in the study and personal
interviews were arranged with each one of them. ...Our final sample comprised 222 SMEs.</t>
  </si>
  <si>
    <t>(222/250)</t>
  </si>
  <si>
    <t>54 Micro firms (&lt;10), 114 Small firms (10–49), 54 Medium firms (50–249)</t>
  </si>
  <si>
    <t>Not mentioned.</t>
  </si>
  <si>
    <t>Fieldwork was carried out from November 2011 to April 2012</t>
  </si>
  <si>
    <t xml:space="preserve">We test our hypotheses on data from a recent survey of 222 exporting SMEs in Spain. </t>
  </si>
  <si>
    <t xml:space="preserve">Data were obtained from SMEs within four important Spanish manufacturing industries: biotechnology, ceramic tiles, toy and footwear. </t>
  </si>
  <si>
    <t>Exporting SMEs from four manufacturing industries</t>
  </si>
  <si>
    <t>Structured survey</t>
  </si>
  <si>
    <t xml:space="preserve">Based on process-based definition and prior instruments
, CR = 0.92, strong reliability </t>
  </si>
  <si>
    <t>Export Performance</t>
  </si>
  <si>
    <t>Export performance: Sales, market share, profitability, sales revenue from new products
, CR = 0.92</t>
  </si>
  <si>
    <t xml:space="preserve"> </t>
  </si>
  <si>
    <t>Direct correlation provided</t>
  </si>
  <si>
    <t>Industry --&gt; Four groups (dummy-coded): Biotechnology, Ceramic, Footwear, Toy
Firm Size  --&gt; Coded using firm headcount
Environmental turbulence --&gt; AVE = 0.85; example item loading = 0.87</t>
  </si>
  <si>
    <t>Mediated model tested with SmartPLS; AC tested as mediator between partner type and export performance</t>
  </si>
  <si>
    <t>Flatten et al. 2011</t>
  </si>
  <si>
    <t>European Management Review</t>
  </si>
  <si>
    <t>Altogether, the invitation to participate in the survey was sent to 3,410 companies. We reminded non-respondents twice and,…</t>
  </si>
  <si>
    <t>in the end, received 345 answers (a response rate of 10.1%)</t>
  </si>
  <si>
    <t>Calculated by weighted avg:
Fewer than 10 36 %
10–20 24 %
20–50 23 %
51 and moreaw 17 %</t>
  </si>
  <si>
    <t>Calculated by wighted avg:
Younger than 8 years 48 %
8–20 years 35 %
20 and more years 17 %</t>
  </si>
  <si>
    <t>we contacted one of the managing directors of each selected company with a personalized e-mail and subsequently conducted the online survey in the period from September to November, 2008.</t>
  </si>
  <si>
    <t>Germany</t>
  </si>
  <si>
    <t>We compiled our sample based on the membership data of the German Chamber of Industry and Commerce.</t>
  </si>
  <si>
    <t>Mixed: manufacturing, service; sectors include construction, energy, IT/software, media, automotive</t>
  </si>
  <si>
    <t>SMEs engaged in strategic alliances; drawn from Chamber of Industry and Commerce</t>
  </si>
  <si>
    <t>Secondary</t>
  </si>
  <si>
    <t>(survey); secondary used for triangulation</t>
  </si>
  <si>
    <t>All α ≥ 0.7 (Acquire: 0.7; Assimilate: 0.8; Transform: 0.9; Exploit: 0.8); CRs also ≥ 0.7
Flatten et al. (2011) 4-dimension scale based on Zahra &amp; George (2002)
A company’s
ACAP process is reflected by 14 items altogether: (1) three items in the acquisition dimension; (2) four items in the assimilation dimension; (3) four items in the transformation dimension; and (4) three items in the exploitation dimension.</t>
  </si>
  <si>
    <t>Firm Performance 
FP 1 Growth in sales
FP 2 Return on investment
FP 3 Operating profit margin
FP 4 Return on equity
FP 5 Customer retention
α = 0.9; CR = 0.9</t>
  </si>
  <si>
    <t>Avergare path coeff. Of the four contsructs of ACAP with Perf: 0.275 + 0.05 = 0.325</t>
  </si>
  <si>
    <t>Firm Age --&gt; Split: &lt;8 years vs. ≥8 years
Firm size --&gt; Split: ≤50 vs. &gt;50 employees</t>
  </si>
  <si>
    <t>Strategic alliances partially mediate the AC–performance link; measurement model tested in AMOS SEM</t>
  </si>
  <si>
    <t>Fulgence et al. 2022</t>
  </si>
  <si>
    <t>Kybernetes</t>
  </si>
  <si>
    <t>503/650</t>
  </si>
  <si>
    <t>Côte d'Ivoire</t>
  </si>
  <si>
    <t>Wood-processing sector</t>
  </si>
  <si>
    <t>SMEs in wood clusters across four governorates (Abidjan, Korhogo, San Pedro, Dalao)</t>
  </si>
  <si>
    <t>questionnaire face to face</t>
  </si>
  <si>
    <t>Knowledge absorptive capacity</t>
  </si>
  <si>
    <t>6-item measure adapted from Aboelmaged &amp; Hashem (2019), Ávila (2021)
α = 0.87, CR = 0.93</t>
  </si>
  <si>
    <t>Subjective</t>
  </si>
  <si>
    <t>5-item measure of innovative performance (e.g., product, process improvements, commercialization)
α = 0.86, CR = 0.91</t>
  </si>
  <si>
    <t xml:space="preserve"> β = 0.443, p &lt; 0.01, Direct effect confirmed in SEM</t>
  </si>
  <si>
    <t>The study has irrelevant IV/DV.</t>
  </si>
  <si>
    <t>Goaill et al. 2021</t>
  </si>
  <si>
    <t>Cogent Business &amp; Management</t>
  </si>
  <si>
    <t>4-50 employees</t>
  </si>
  <si>
    <t>171/384 responses</t>
  </si>
  <si>
    <t xml:space="preserve">SMEs (4-50 employees) </t>
  </si>
  <si>
    <t>Stated in methods</t>
  </si>
  <si>
    <t>Yemen</t>
  </si>
  <si>
    <t>Manufacturing SMEs in Sana’a</t>
  </si>
  <si>
    <t>Focused on manufacturing SMEs based on Yemeni government definition</t>
  </si>
  <si>
    <t>12-item measure adapted from Hernandez-Perlines et al. (2017), includes acquisition, assimilation, transformation, exploitation</t>
  </si>
  <si>
    <t xml:space="preserve">α = 0.935, CR = 0.945, excellent realiability </t>
  </si>
  <si>
    <t>Supply Chain Resilience (SCR)</t>
  </si>
  <si>
    <t>Supply Chain Resilience (SCR) — 6 items adapted from multiple sources
α = 0.910, CR = 0.930</t>
  </si>
  <si>
    <t>β for EO*AC → SCR = 0.185, p &lt; 0.05 (moderating effect)</t>
  </si>
  <si>
    <t>Absorptive Capacity --&gt; Tested as interaction term (EO × AC)</t>
  </si>
  <si>
    <t>Grandinetti 2016</t>
  </si>
  <si>
    <t>Knowledge Management Research &amp; Practic</t>
  </si>
  <si>
    <t>Secondary/Conceptual</t>
  </si>
  <si>
    <t>This is a conceptual editorial article that theorizes about absorptive capacity in SMEs using literature synthesis and model building. No empirical test, sample, or statistics are provided. It outlines a framework for interaction-driven vs. codification-driven knowledge absorption.</t>
  </si>
  <si>
    <t>Gray 2006</t>
  </si>
  <si>
    <t>International Journal of Entrepreneurial Behaviour &amp; Research</t>
  </si>
  <si>
    <t>Not a single sample; drawn from multiple national quarterly surveys (2003–2005), e.g., 687, 808, 739 respondents</t>
  </si>
  <si>
    <t>The study uses a secondary database.</t>
  </si>
  <si>
    <t xml:space="preserve">The samples for all these surveys were drawn from a wider SERTeam database of mainly owner-managed SMEs which has been recruited and periodically replenished through a random selection of firms nationally. </t>
  </si>
  <si>
    <t>2003-2005</t>
  </si>
  <si>
    <t>UK</t>
  </si>
  <si>
    <t>Mixed industries across UK SME sector</t>
  </si>
  <si>
    <t>(survey), but only descriptive analyses reported</t>
  </si>
  <si>
    <t>Indirect — inferred via education, innovation, growth intent; no formal AC scale used</t>
  </si>
  <si>
    <t>Sales performance, growth strategy, innovation activity (self-reported)</t>
  </si>
  <si>
    <t>Not structured — multiple indicators used</t>
  </si>
  <si>
    <t>Based on multiple descriptive surveys. No correlation, regression, or path model results reported. AC is theorized using educational level, innovation, and growth-orientation. No psychometric measures used.</t>
  </si>
  <si>
    <t>Hernández-Linares et al. 2021</t>
  </si>
  <si>
    <t>Our target firms came from the SABI database (Sistema de Análisis de Balances Ibéricos-System of Iberian Balance Sheets), which incorporates information on 1,366,768 Spanish firms (March 2015).</t>
  </si>
  <si>
    <t>Only 509 were usable, resulting in a final response rate of 11.54%</t>
  </si>
  <si>
    <t>SMEs (10–249 employees, per EU definition); no further information provided</t>
  </si>
  <si>
    <t>From the table</t>
  </si>
  <si>
    <t>… at the time the survey was applied (the beginning of 2015)</t>
  </si>
  <si>
    <t>Our target firms came from the SABI database (Sistema de Análisis de Balances Ibéricos-System of Iberian Balance Sheets)</t>
  </si>
  <si>
    <t xml:space="preserve">	Mixed (manufacturing, services, construction, agriculture)</t>
  </si>
  <si>
    <t>Non-listed Spanish SMEs across sectors, sampled via SABI database</t>
  </si>
  <si>
    <t>(survey); firm characteristics from SABI database</t>
  </si>
  <si>
    <t>Learning Capability</t>
  </si>
  <si>
    <t>Reflective</t>
  </si>
  <si>
    <t>This scale comprises the capabilities of sensing (4 items, α = .802), learning (5 items, α = .916), integrating (5 items, α = .807), and coordinating (5 items, α = .902).</t>
  </si>
  <si>
    <t>Firm Performance</t>
  </si>
  <si>
    <t>8-item subjective performance scale from Arend (2013) (growth, ROI, innovation, customer satisfaction, etc.)
α = 0.842,CR=n/a</t>
  </si>
  <si>
    <t>β = 0.167, p &lt; 0.001 for Learning Capability significantly predicts firm performance</t>
  </si>
  <si>
    <t>Market Orientation (MO) --&gt; MO moderates Learning Capability → Performance (β = –0.084, p &lt; 0.01)</t>
  </si>
  <si>
    <t>Learning Capability used as a proxy for AC. Other DC dimensions tested: Sensing, Integrating, Coordinating. Market Orientation tested as a moderator. Data analyzed via regression. Control variables: firm size, age, board, sector, environmental dynamism.</t>
  </si>
  <si>
    <t>Hooi &amp; Ngui. 2014</t>
  </si>
  <si>
    <t>International Journal of Manpower</t>
  </si>
  <si>
    <t>A total of 795 SMEs, representing 20 percent of the estimated overall population of 3,975 SMEs in the manufacturing and services sector in Sarawak, was targeted for data collection.</t>
  </si>
  <si>
    <t>(286/795)</t>
  </si>
  <si>
    <t>SMEs (defined as &lt;150 employees for manufacturing; &lt;50 for services)</t>
  </si>
  <si>
    <t>No information provided.</t>
  </si>
  <si>
    <t>Manufacturing and service SMEs in Sarawak</t>
  </si>
  <si>
    <t>SMEs selected using stratified random sampling from 3,975 firms in Sarawak</t>
  </si>
  <si>
    <t>Organizational Learning Capability; 16-item scale adapted from Jerez-Gomez et al. (2005)
CR was used.</t>
  </si>
  <si>
    <t>α = N/A, CR = 0.89
Organizational performance was assessed using five items, measuring perceptions on improvements in SMEs’ performance over the last three years in the following areas: sales growth; market share; profitability;…</t>
  </si>
  <si>
    <t>β = 0.366, p &lt; 0.05 (OLC → performance) + 0.05</t>
  </si>
  <si>
    <t>Organizational learning capability (OLC) mediates the relationship between HR practices and performance. Structural model tested with AMOS SEM. OLC modeled as second-order factor with 4 dimensions: managerial commitment, systems perspective, openness, knowledge transfer.</t>
  </si>
  <si>
    <t>Hooi 2020</t>
  </si>
  <si>
    <t>International Journal of Organizational Analysis</t>
  </si>
  <si>
    <t>Data sets were gathered over a two-week period with a response rate of 21.4%, yielding a sample size of 214 usable responses.</t>
  </si>
  <si>
    <t>SMEs (Retail sector; excluded firms &lt;5 employees or &lt;RM300,000 turnover)</t>
  </si>
  <si>
    <t>Retail SMEs across 9 sectors (e.g., food, cosmetics, textiles)</t>
  </si>
  <si>
    <t>Managerial-level employees from 100 firms; 10 per firm sampled</t>
  </si>
  <si>
    <t>Organizational Learning Capability (OL-CAP), 15-item scale from Jerez-Gomez et al. (2005)
α = N/A, CR = 0.844–0.950 for constructs, so we took the mean of this</t>
  </si>
  <si>
    <t>10-item subjective performance: 6 economic (e.g., profitability, ROE), 4 satisfaction (e.g., customer satisfaction)
α = N/A,CR = 0.844–0.950</t>
  </si>
  <si>
    <t>β = 0.255 (EXOL-CAP), β = 0.188 (MCOL-CAP) → both significant to satisfaction performance. So we added 0.05 to it.</t>
  </si>
  <si>
    <t>OL-CAP mediates the relationship between HRM practices and satisfaction performance, especially EXOL-CAP and MCOL-CAP. Used PLS-SEM. Controls: firm size, firm age, respondent demographics.</t>
  </si>
  <si>
    <t>Hughes et al. 2017</t>
  </si>
  <si>
    <t>acia pacific journal of management</t>
  </si>
  <si>
    <t>We generated data through a mail survey of 150 Malaysian SMEs that were randomly selected from The Federation of Malaysian Manufacturers directory.</t>
  </si>
  <si>
    <t>(111/150)
The remaining 111 SMEs were subjected to data analysis.</t>
  </si>
  <si>
    <t>SMEs (≤200 employees, 66% with ≤50 employees)</t>
  </si>
  <si>
    <t>60% older than 15 years</t>
  </si>
  <si>
    <t>We generated data through a mail survey of 150 Malaysian SMEs…</t>
  </si>
  <si>
    <t>Manufacturing (13 industry groups)</t>
  </si>
  <si>
    <t>Random sample of manufacturing SMEs in Johor, Malaysia, hand-delivered survey</t>
  </si>
  <si>
    <t>adapted scale from Hodgkinson et al. (2012); includes knowledge sharing, systems, coding, and transfer
α = 0.83; CR = N/A</t>
  </si>
  <si>
    <t>4-item subjective performance: ROS, net profit, market share, ROI
α = 0.85; CR = N/A</t>
  </si>
  <si>
    <t>From the correlation matrix.</t>
  </si>
  <si>
    <t>Absorptive Capacity --&gt; Tested as both moderator and mediator of EO → performance
Improvisation --&gt; Tested as moderator and mediator; both not supported</t>
  </si>
  <si>
    <t>Study tests absorptive capacity and improvisation as learning modes in EO–performance link. AC shows significant mediation but weak moderation (only at high values). Improvisation shows direct effect on performance but no moderation or mediation. Used regression and PROCESS bootstrapping. Controls: firm size, age, manager tenure, industry.</t>
  </si>
  <si>
    <t>Ibarra-Cisneros &amp; Perlines 2020</t>
  </si>
  <si>
    <t>Measuring Business Excellence</t>
  </si>
  <si>
    <t xml:space="preserve">… a sample of 262 firms was defined; out of these, 193 answered the survey and 165 questionnaires were validated. </t>
  </si>
  <si>
    <t>62.98</t>
  </si>
  <si>
    <t>(165/262)</t>
  </si>
  <si>
    <t>SMEs (11–250 employees)</t>
  </si>
  <si>
    <t>categorized as new ≤5 years, young 5–10, mature &gt;10</t>
  </si>
  <si>
    <t>second half of 2018</t>
  </si>
  <si>
    <t>Mexico</t>
  </si>
  <si>
    <t>North America</t>
  </si>
  <si>
    <t>Manufacturing (regional subsectors in Baja California)</t>
  </si>
  <si>
    <t>Stratified sample based on national enterprise directory, manually administered to managers</t>
  </si>
  <si>
    <t>14-item second-order scale with 4 dimensions (acquisition, assimilation, transformation, exploitation); adapted from Cohen &amp; Levinthal (1990), Zahra &amp; George (2002), Demuner et al. (2018)
α = 0.901; CR = 0.919</t>
  </si>
  <si>
    <t>6-item subjective business performance scale (growth, profitability, margins, market share, positioning, future outlook)
α = 0.789; CR = 0.902</t>
  </si>
  <si>
    <t>β = 0.342 (moderation effect); β = 0.422 (direct AC → BP); EO → BP β = 0.395 + 0.05</t>
  </si>
  <si>
    <t>Absorptive Capacity --&gt; Tested as moderator of EO → BP</t>
  </si>
  <si>
    <t>ACAP significantly moderates and directly affects business performance. Model tested via PLS-SEM in SmartPLS. Control variables: firm age (significant), firm size (not significant). Item reduction was conducted during CFA.</t>
  </si>
  <si>
    <t>Jallad &amp; Karadas. 2024</t>
  </si>
  <si>
    <t>73.5</t>
  </si>
  <si>
    <t>(303/412)</t>
  </si>
  <si>
    <t>SMEs (5–50 employees, per Palestinian Ministry of Economy)</t>
  </si>
  <si>
    <t>Nov 2022 – Mar 2023</t>
  </si>
  <si>
    <t>Palestine</t>
  </si>
  <si>
    <t>Manufacturing (Raw Materials and Engineering/Construction sectors)</t>
  </si>
  <si>
    <t>Regional study in the northern West Bank; stratified random sampling via Chamber of Commerce</t>
  </si>
  <si>
    <t>5-item scale from Jansen et al. (2005) adapted to the Palestinian SME context</t>
  </si>
  <si>
    <t>α = 0.771, CR = 0.845</t>
  </si>
  <si>
    <t>Business Sustainability Performance (19 items), Innovation Performance (7 items), KMC (8 items)</t>
  </si>
  <si>
    <t>BSP: α = 0.944, CR = 0.950; IP: α = 0.849, CR = 0.886; KMC: α = 0.859, CR = 0.896</t>
  </si>
  <si>
    <t>AC → BSP: β = 0.474, p &lt; .001; AC → IP: β = 0.467; AC → KMC: β = 0.566</t>
  </si>
  <si>
    <t>Industry Type --&gt; Significant moderator for AC → BSP (β difference = 0.187, p = 0.025); no effect for KMC or IP</t>
  </si>
  <si>
    <t>The journal is sustainability and also it contains irrelevant Ivs and Dvs.</t>
  </si>
  <si>
    <t>Jasimuddin &amp; Naqshbandi. 2019</t>
  </si>
  <si>
    <t>Production Planning &amp; Control</t>
  </si>
  <si>
    <t>50</t>
  </si>
  <si>
    <t>(125/250)</t>
  </si>
  <si>
    <t>SMEs (~30 employees average; 10–250 employees per EU standard)</t>
  </si>
  <si>
    <t>29.6% of firms are 21–30 years old</t>
  </si>
  <si>
    <t>2016 (March–August)</t>
  </si>
  <si>
    <t>Mixed (e.g., electrical, optical, chemicals, pharma, machinery)</t>
  </si>
  <si>
    <t>Multi-industry French SMEs; middle and top managers surveyed</t>
  </si>
  <si>
    <t>10-item scale adapted from Jansen et al. (2005) and Flor et al. (2013)</t>
  </si>
  <si>
    <t>α = 0.89; CR = 0.888</t>
  </si>
  <si>
    <t>Inbound Open Innovation (IOI), 6-item scale from Sisodiya (2008), Naqshbandi (2016)</t>
  </si>
  <si>
    <t>α = 0.89; CR = 0.885</t>
  </si>
  <si>
    <t>r = 0.558 (AC ↔ IOI), β = 0.49 (AC → IOI), both p &lt; .001</t>
  </si>
  <si>
    <t>Jun et al. 2021</t>
  </si>
  <si>
    <t xml:space="preserve">GSBC sent us a list of 1,100 SMEs created through random sampling of their database… </t>
  </si>
  <si>
    <t>23.7</t>
  </si>
  <si>
    <t>237 responses (response rate: 23.7 percent)</t>
  </si>
  <si>
    <t>Calculated by weighted avg:
Below 25 48 (20.3 percent)
26–30 40 (16.8 percent)
31–40 67 (28.3 percent)
41–50 35 (14.8 percent)
51–100 30 (12.6 percent)
101–299 14 (5.9 percent)
Above 300 3 (1.3 percent)</t>
  </si>
  <si>
    <t>South Korea</t>
  </si>
  <si>
    <t>Food/Home Appliances 57 (24.1 percent)
Electronic/Optical 46 (19.4 percent)
Mechanical/Automobile/Logistic 35 (14.8 percent)
Part/Raw Material 41 (17.3 percent)
Construction/Wholesale/Retail/Transportation 30 (12.7 percent)
Service 28 (11.8 percent)</t>
  </si>
  <si>
    <t>SMEs from Gyeonggi province; stratified random sample from GSBC database</t>
  </si>
  <si>
    <t>CR is used.</t>
  </si>
  <si>
    <t>3-item subjective performance: sales growth, market share, overall performance
α = 0.890; CR = 0.890</t>
  </si>
  <si>
    <t>International expansion --&gt; Dummy-coded (1 = exporting firm); significant moderator of innovativeness → performance
R&amp;D intensity --&gt; R&amp;D expenditures / sales; not significant as moderator</t>
  </si>
  <si>
    <t>Absorptive capacity (AC) not measured or analyzed. The study focuses on innovativeness and strategic choices, not AC–performance relationships.</t>
  </si>
  <si>
    <t>Kang et al. 2022</t>
  </si>
  <si>
    <t>Long Range Planning</t>
  </si>
  <si>
    <t>We received 343 useable returned questionnaires (228 from Australia and 115 from New Zealand), representing an overall response rate of 11.4%</t>
  </si>
  <si>
    <t>11.4</t>
  </si>
  <si>
    <t>calcualted by the weighted avg:
&lt;10 67
10–49 161
50–250 115</t>
  </si>
  <si>
    <t>calcualated by the weighted avg:
≤10 94
11–20 105
&gt;20 144</t>
  </si>
  <si>
    <t>Caculated by year of pub - 2</t>
  </si>
  <si>
    <t>Australia and New Zealand</t>
  </si>
  <si>
    <t>Australia</t>
  </si>
  <si>
    <t>Mixed (manufacturing, retail, services, construction, etc.)</t>
  </si>
  <si>
    <t>Random sample of SMEs from enterprise directories across both countries</t>
  </si>
  <si>
    <t>CR = 0.93; AVE = 0.52
15-item scale from Jansen et al. (2005); four dimensions: acquire, assimilate, transform, exploit</t>
  </si>
  <si>
    <t>Performance</t>
  </si>
  <si>
    <t>CR = 0.91; AVE = 0.68
5-item subjective performance: sales growth, market share, ROI, ROA, financial goal achievement</t>
  </si>
  <si>
    <t>AC → performance: β = 0.516, p &lt; .001 (full mediation) + 0.05</t>
  </si>
  <si>
    <t>Earliness of internationalization --&gt; Moderates speed² → AC (β = –0.211, p = 0.015); strengthens positive effect, steepens negative curve</t>
  </si>
  <si>
    <t xml:space="preserve">AC mediates speed–performance link; earliness moderates the mediation. Controls: firm age, size, education, experience, industry, dynamism. SEM with robustness checks (bootstrapping, PSM).
</t>
  </si>
  <si>
    <t>Karami &amp; Tang. 2019</t>
  </si>
  <si>
    <t>International Small Business Journal</t>
  </si>
  <si>
    <t>Among the 260 firms who agreed to respond to our survey, 96 cases did not start nor submit the survey after three reminders. Thus, our final sample consisted of 164 complete responses.</t>
  </si>
  <si>
    <t>164/260</t>
  </si>
  <si>
    <t>From table 1</t>
  </si>
  <si>
    <t>from table 1</t>
  </si>
  <si>
    <t>Survey conducted between Sept 2016 and Feb 2017</t>
  </si>
  <si>
    <t>New Zealand</t>
  </si>
  <si>
    <t>Manufacturing Food,beverage and tobacco products, textile, leather, clothing and footwear, wood and paper products, printing, petroleum, chemical, polymer and rubber products, non-metallic mineral products, metal products, transport machinery and equipment, furniture and other manufacturing.</t>
  </si>
  <si>
    <t>164 mature New Zealand manufacturing SMEs,Only firms with international operations included</t>
  </si>
  <si>
    <t>Experiential Learning</t>
  </si>
  <si>
    <t xml:space="preserve">(1) our firm’s experience in the development and adaptation of products for foreign markets; ... and (5) our firm’s experience in doing business with new international customers </t>
  </si>
  <si>
    <t>International Performance</t>
  </si>
  <si>
    <t>α = 0.95, CR = 0.95
(1) international sales volume; ... and (11) success of your main international business (‘1’=‘completely unsuccessful’ and ‘7’=‘completely successful’).</t>
  </si>
  <si>
    <t>The study explains how entrepreneurial orientation (EO) impacts international performance of SMEs, emphasizing the mediating roles of experiential learning and networking capability.</t>
  </si>
  <si>
    <t>Khraishi et al. 2023</t>
  </si>
  <si>
    <t>Supply Chain Management: An International Journal</t>
  </si>
  <si>
    <t>21.78</t>
  </si>
  <si>
    <t>SMEs(200  with 10 to 249 employees and has between €2 million and €50 million.)</t>
  </si>
  <si>
    <t>According to the European innovation data set, close to 50% of the SMEs have engaged in innovation activities between 2012 and 201</t>
  </si>
  <si>
    <t>UK,France,Germany,Italy</t>
  </si>
  <si>
    <t>Mixed:manufacturing, machinery,  petroleum,  equipment,pharmaceutical, metal and minerals,Textile,Plastic and rubber</t>
  </si>
  <si>
    <t>200 European SMEs from the manufacturing sector across the UK, France, Germany, and Italy, selected based on active involvement in offshoring innovation relationships.</t>
  </si>
  <si>
    <t>Cronbach's α = 0.76; Composite Reliability (CR) = 0.77.
Four-item scale from Forés and Camisón (2016)(acquisition, assimilation, transformation, and application)</t>
  </si>
  <si>
    <t>Offshoring Innovation (OI) Performance</t>
  </si>
  <si>
    <t>OI Performance: α = 0.70, CR = 0.74</t>
  </si>
  <si>
    <t>Direct effect of AC on OI Performance: β = 0.644; effect in moderated model: β = 0.521.</t>
  </si>
  <si>
    <r>
      <rPr>
        <b/>
        <sz val="11"/>
        <color rgb="FF000000"/>
        <rFont val="Calibri"/>
        <family val="2"/>
        <scheme val="minor"/>
      </rPr>
      <t>Formal knowledge-sharing routines</t>
    </r>
    <r>
      <rPr>
        <sz val="11"/>
        <color rgb="FF000000"/>
        <rFont val="Calibri"/>
        <family val="2"/>
        <scheme val="minor"/>
      </rPr>
      <t xml:space="preserve"> → Moderates AC → OI performance and AC → satisfaction; both effects negative and significant (β = –0.143, –0.233)</t>
    </r>
  </si>
  <si>
    <t xml:space="preserve">The study has irrelevant IV/DV.
</t>
  </si>
  <si>
    <t>Liao et al. 2003</t>
  </si>
  <si>
    <t>Only those SMEs that had at least a 6% growth rate in the last two consecutive years were included in the sample. By combin- ing both subjective and objective measures of growth orientation, we were able to iden- tify a homogenous group of growth-oriented SMEs. The final sample consists of 107 growth-oriented firms.</t>
  </si>
  <si>
    <t>(284/1000)</t>
  </si>
  <si>
    <t>Small and medium-sized enterprises from Washington State.</t>
  </si>
  <si>
    <t>Not clearly specified - likely early 2000s</t>
  </si>
  <si>
    <t>United States</t>
  </si>
  <si>
    <t>Washington State</t>
  </si>
  <si>
    <t>Mixed:manufacturing, service, retail, wholesale, finance, transportation, construction, and agricultural businesses</t>
  </si>
  <si>
    <t>growth-oriented SMEs from diverse industries in Washington State</t>
  </si>
  <si>
    <t>External Knowledge
Acquisition</t>
  </si>
  <si>
    <t>0,80 0,72</t>
  </si>
  <si>
    <t xml:space="preserve">External Knowledge Acquisition: α = 0.80, Intrafirm Knowledge Dissemination: α = 0.72, CR = N/A
Based on Kohli et al. (1993), Narver and Slater (1990), and Slater and Narver (1994). </t>
  </si>
  <si>
    <t>SMEs’
Organizational
Responsiveness</t>
  </si>
  <si>
    <t>α = 0.89, CR = N/A
9-item Organizational Responsiveness</t>
  </si>
  <si>
    <t>external: 0,575, internal: 0 ,215</t>
  </si>
  <si>
    <t>External Knowledge Acquisition: β = 0.575 (p &lt; .001) r=0.721, Intrafirm Knowledge Dissemination: β = 0.215 (p &lt; .01) r=0.397</t>
  </si>
  <si>
    <r>
      <rPr>
        <b/>
        <sz val="11"/>
        <color rgb="FF000000"/>
        <rFont val="Calibri"/>
        <family val="2"/>
        <scheme val="minor"/>
      </rPr>
      <t>Environmental Turbulence</t>
    </r>
    <r>
      <rPr>
        <sz val="11"/>
        <color rgb="FF000000"/>
        <rFont val="Calibri"/>
        <family val="2"/>
        <scheme val="minor"/>
      </rPr>
      <t xml:space="preserve"> --&gt; intrafirm knowledge dissemination and organizational responsiveness:ß = 1.450 (p &lt; .05)
</t>
    </r>
    <r>
      <rPr>
        <b/>
        <sz val="11"/>
        <color rgb="FF000000"/>
        <rFont val="Calibri"/>
        <family val="2"/>
        <scheme val="minor"/>
      </rPr>
      <t xml:space="preserve">Strategic Orientation </t>
    </r>
    <r>
      <rPr>
        <sz val="11"/>
        <color rgb="FF000000"/>
        <rFont val="Calibri"/>
        <family val="2"/>
        <scheme val="minor"/>
      </rPr>
      <t>--&gt; external knowledge acquisition and organizational responsiveness: ß = 0.630 (p &lt; .1)</t>
    </r>
  </si>
  <si>
    <t>The paper has irrelevant IV/DV, and it is published in the sustainability journal.</t>
  </si>
  <si>
    <t>Maes &amp; Sels. 2014</t>
  </si>
  <si>
    <t>21.36</t>
  </si>
  <si>
    <t>SMEs (being in dynamic environments and having a maximum of 250 employees)</t>
  </si>
  <si>
    <t>12.68</t>
  </si>
  <si>
    <t>ln(age) = 2.54</t>
  </si>
  <si>
    <t>Belgium</t>
  </si>
  <si>
    <t>Firms from Flanders, Belgium</t>
  </si>
  <si>
    <t>Mixed:manufacturing,construction,transport and communication, services.</t>
  </si>
  <si>
    <t xml:space="preserve">The study sampled 194 Belgian SMEs from innovation-relevant sectors, focusing on firms operating in dynamic environments with up to 250 employees </t>
  </si>
  <si>
    <t>(PASO mail survey)</t>
  </si>
  <si>
    <t>Exploratory Learning</t>
  </si>
  <si>
    <t>0,73 0,70 0,72</t>
  </si>
  <si>
    <t>Exploratory learning: α = 0.73; Transformative learning: α = 0.70; Exploitative learning: α = 0.72
Based on Kohli et al. (1993)Exploratory:4, Transformative:4, and Exploitative Learning:4</t>
  </si>
  <si>
    <t xml:space="preserve">Radical Product Innovation </t>
  </si>
  <si>
    <t>N/A</t>
  </si>
  <si>
    <t>Exploitative learning → Radical innovation: β = 0.12. Exploratory and transformative learning were found to have only indirect effects on innovation.</t>
  </si>
  <si>
    <t>The study has iirelevant Iv/DV.</t>
  </si>
  <si>
    <t xml:space="preserve">Makhloufi et al. 2021
</t>
  </si>
  <si>
    <t>Applying the random sampling technique, the study sample size was 370.</t>
  </si>
  <si>
    <t>37.4</t>
  </si>
  <si>
    <t>(194/500)</t>
  </si>
  <si>
    <t>ML</t>
  </si>
  <si>
    <t>Medium and large firms (50–500+ employees); 
Targeted firms in major Algerian industrial zones</t>
  </si>
  <si>
    <t>Age groups reported (most common: 10–15 years)</t>
  </si>
  <si>
    <t>The population of the study was 9451 firms registered in KOMPASS (https://dz.kompass.com, accessed on 25March 2021).</t>
  </si>
  <si>
    <t>Algeria</t>
  </si>
  <si>
    <t>Electrical and electronic, chemistry and plastic, agri-food, food and mineral industry, construction and habitat, energy and environment</t>
  </si>
  <si>
    <t>Targeted medium and large firms located in six major industrial zones in Algeria</t>
  </si>
  <si>
    <t>α = 0.909; CR = 0.922
14 items scale Based on Zahra and George (2002), Cohen and Levinthal (1990), Ibarra-Cisneros and Hernandez-Perlines (2019)  (acquisition:4, assimilation:4, transformation: 3, exploitation: 3)</t>
  </si>
  <si>
    <t>Innovation Capability</t>
  </si>
  <si>
    <t>0.942</t>
  </si>
  <si>
    <t>α = 0.942, CR = 0.956
5-item Innovation Capability</t>
  </si>
  <si>
    <t>β = 0.562, t = 11.126, p &lt; 0.001</t>
  </si>
  <si>
    <t>We did not include this paper, as it is published in the Sustainability journal, and also, it has irrelevant Iv/DV.</t>
  </si>
  <si>
    <t>Makhloufi et al. 2024</t>
  </si>
  <si>
    <t>y</t>
  </si>
  <si>
    <t>Recommendation to avoid missing and incomplete surveys, 40% was added to the total sample size, generating a final sample size of 518 = 370 + 0.40 = 518.  this study’s maximum sample size is 518 with a total of 246 respondents.</t>
  </si>
  <si>
    <t>47.5</t>
  </si>
  <si>
    <t>(246/518)</t>
  </si>
  <si>
    <t>Small and medium-sized enterprises (SMEs) in Algeria, which are considered the backbone of the country's economic development.</t>
  </si>
  <si>
    <t>calculated by the weighted avg:
1–5 years	78	31.7%	3
6–10 years	102	41.5%	8
More than 10 years	66	26.8%	15 (assumed)</t>
  </si>
  <si>
    <t>Sep 2022 – Feb 2023</t>
  </si>
  <si>
    <t>Agri-food, wood and furniture, food and mineral, chemistry and plastic, energy and environment, constructions, wholesales</t>
  </si>
  <si>
    <t>SME managers (middle to top management) across multiple industries in Algeria</t>
  </si>
  <si>
    <t>Asbsorptive Capacity</t>
  </si>
  <si>
    <t>α = 0.861; CR = 0.904
Four items were used to measure AC, adopted from a previous study (Li et al., 2020).</t>
  </si>
  <si>
    <t>Entrepreneurial Performance</t>
  </si>
  <si>
    <t>0.744</t>
  </si>
  <si>
    <t>Entrepreneurial performance: α = 0.744, CR = 0.889( Business survival: α = 0.835, CR = 0.888 ; Growth sustainability: α = 0.783, CR = 0.847) This study predicts EP outcomes, business survival and sustainable growth as measures of key dimensions.</t>
  </si>
  <si>
    <t>Indirect effect through EO: ß = AC→EO → EP = 0.116, p &lt; 0.001; no direct AC → EP coefficient reported.</t>
  </si>
  <si>
    <t>Opportunity recognition moderates EO-EP relationship (β=0.178)</t>
  </si>
  <si>
    <t>Study tests mediating role of AC and EO, and moderating role of OR on EO–EP relationship.</t>
  </si>
  <si>
    <t>Mata et al. 2024</t>
  </si>
  <si>
    <t>Journal of Knowledge Management</t>
  </si>
  <si>
    <t>Calculated the required sample size sample size of 276 was adopted based on the Slovin formula, accepted globally to calculate the sample size.</t>
  </si>
  <si>
    <t>75</t>
  </si>
  <si>
    <t>(300/400)</t>
  </si>
  <si>
    <t>24 public and private small- to medium-sized IT companies operating in Portugal.</t>
  </si>
  <si>
    <t>Calculated by the weighted avg:
20–30 years 106
31–40 years 135
41–50 years 55
More than 50 years 4</t>
  </si>
  <si>
    <t>Nov 2021 – Feb 2022</t>
  </si>
  <si>
    <t>Portugal</t>
  </si>
  <si>
    <t>Portuguese IT SMEs across multiple cities</t>
  </si>
  <si>
    <t>Information Technology (IT)</t>
  </si>
  <si>
    <t>Respondents were project managers, software development teams, designers, and operation managers. Companies included Unbabel, BI4ALL, Glintt, Vortal, Timestamp, etc.</t>
  </si>
  <si>
    <t>α = 0.892, CR = 0.911
10-item scale developed by Zahra and George (2002).</t>
  </si>
  <si>
    <t>Financial Performance</t>
  </si>
  <si>
    <t>α = 0.866, CR = 0.910
4-item scale adopted from Shashi et al. (2019) to measure Financial performance.</t>
  </si>
  <si>
    <t>AC → FP → β = 0.615, p &lt; 0.001 → significant positive effect + 0.05</t>
  </si>
  <si>
    <t>Customer Knowledge Management Capability (CKMC) --&gt; CKMC moderating CI → AC  β = 0.007 Not significant, CKMC moderating CI → SA β = 0.0052 significant</t>
  </si>
  <si>
    <t>The study explores how Collaborative Innovation (CI) impacts Financial Performance (FP) via the mediating effects of Absorptive Capacity and Strategic Agility, with CKMC as a moderator. Conducted in the Portuguese IT SME context.</t>
  </si>
  <si>
    <t>Muscio 2007</t>
  </si>
  <si>
    <t>Economics of Innovation and New Technology</t>
  </si>
  <si>
    <t>face-to-face interviews with entrepreneurs and R&amp;D representatives.</t>
  </si>
  <si>
    <t>All the firms interviewed had fewer than 250 employees. On average employed 65 staff.</t>
  </si>
  <si>
    <t>Interviews were carried out during 1999–2001.</t>
  </si>
  <si>
    <t>production of electrical and electronic products, machinery, metal products, plastics, textiles and
garments (including silk products)</t>
  </si>
  <si>
    <t>Innovative SMEs in Lombardy region, Italy</t>
  </si>
  <si>
    <t>R&amp;D Absorptive capacity</t>
  </si>
  <si>
    <t>Not reported (probit regression used)
Based on Cohen &amp; Levinthal (1990):  Proxies for R&amp;D employment, graduate employment, training, innovation system awareness</t>
  </si>
  <si>
    <t>SMEs’ collaboration with external institutions</t>
  </si>
  <si>
    <t>Formative</t>
  </si>
  <si>
    <t>Probit model analysis; AC measured via R&amp;D and human capital; focus
on collaboration rather than performance; 4 types of collaboration studied;
75.7% firms introduced innovative products; innovations generate 25% of turnover on average.
The study uses econometric methods, and hence, it has irrelevant DV, and uses a staistical approach that does not produce alph, correlation or coefficients.</t>
  </si>
  <si>
    <t>Navarro et al. 2015</t>
  </si>
  <si>
    <t>Journal of Small Business and Enterprise Development</t>
  </si>
  <si>
    <t xml:space="preserve"> Only companies where the founders were still actively involved were included, yielding an 18.05% response rate.</t>
  </si>
  <si>
    <t>(128/709)</t>
  </si>
  <si>
    <t xml:space="preserve">Defined by European Commission: &lt; 250 employees, annual turnover &lt; €50M, annual balance sheet &lt; €43M
</t>
  </si>
  <si>
    <t>2007(early July to August)</t>
  </si>
  <si>
    <t>Unoited Kingdom</t>
  </si>
  <si>
    <t>Telecommunications</t>
  </si>
  <si>
    <t>SMEs where founders were still actively involved; UK telecom sector; technology-driven industry</t>
  </si>
  <si>
    <t>Realized Absorptive capacity</t>
  </si>
  <si>
    <t xml:space="preserve">formative
</t>
  </si>
  <si>
    <t>8 item scale- Realized Absorptive Capacity (RACAP) using dimensions from Jansen et al. (2005) (4 items for Transformation capacity; 4 items for Exploitation capacity)
Transformation CR = 0.840, Exploitation CR = 0.834; Cronbach’s alpha not reported but Scale Compsote relaibility was calculated by the mean of the two SCRs of the two underlying constructs.</t>
  </si>
  <si>
    <t>International performance</t>
  </si>
  <si>
    <t>α = N/A, SCR = 0.834
3-item International Organizational Performance(capacity to generate new products/services, ability to retain foreign customers, satisfaction of foreign customers)</t>
  </si>
  <si>
    <t>Study tested structural model linking Congenital Learning → RACAP → IOP using structural equation modeling; focused on founder-driven knowledge processes in SMEs</t>
  </si>
  <si>
    <t>Ortiz et al. 2023</t>
  </si>
  <si>
    <t>Small Enterprise Research</t>
  </si>
  <si>
    <t>Among the main characteristics
of this sample is that 100% is composed of small and medium-sized enterprises (SMEs). An effective response rate of 10% was achieved.</t>
  </si>
  <si>
    <t>Small (31–50 employees) and Medium (51–200 employees). 44% small, 56% medium-sized firms.
Medium (51–200 employees) 281 56%
Small (31–50 employees) 221 44%</t>
  </si>
  <si>
    <t>&gt; 20 years 126 25%
Between 16 and 20 years 111 22%
Between 11 and 15 years 151 30%
Between 5 and 10 years 114 23%</t>
  </si>
  <si>
    <t>Year of Data Collection = not explicitly stated; inferred pub year - 2.</t>
  </si>
  <si>
    <t>Colombia</t>
  </si>
  <si>
    <t>Additionally, this study focuses only on an emerging Latin American country (Colombia), which limits the generalization of the results.</t>
  </si>
  <si>
    <t>South America</t>
  </si>
  <si>
    <t>Manufacturing and Service (dual-sector sample, 55% manufacturing / 45% service)</t>
  </si>
  <si>
    <t>100% SMEs, Colombia, high mortality rates in context, manufacturing + service sectors</t>
  </si>
  <si>
    <t>α = 0.944; CR = 0.973
14-item scale based on Flatten et al. (2011) AC1: Potential Absorptive Capacity Capacity to acquire knowledge: 3 items  Capacity to assimilate knowledge: 4 items AC2: Realized Absorptive Capacity  Capacity to transform knowledge: 4 items  Capacity to exploit knowledge: 3 items</t>
  </si>
  <si>
    <t>α = 0,965, CR = 0,970
7-item scale Nakata et al.(2008). quality of product or service; success of new products or services; customer retention rate; sales level; return on capital; gross profit margin; return on investment.</t>
  </si>
  <si>
    <t xml:space="preserve">The study's primary conclusion is that the effect of Knowledge Transfer (KT) on Performance (P) is not direct but is fully mediated by Absorptive Capacity (AC) and Organizational Learning Capability (OLC), both individually and in sequence.
</t>
  </si>
  <si>
    <t>Park &amp; Rhee. 2012</t>
  </si>
  <si>
    <t>These procedures led to a final sample of 271 and a final response rate of 18.5.</t>
  </si>
  <si>
    <t>(271/1379)</t>
  </si>
  <si>
    <t>Most firms (78%) employed 50 or fewer employees, with an average of 41 employees. Firms had to have fewer than 300 employees (South Korean SME definition). 
The mean after log transformation is 3.36, so we estimated the mean by exp(3.36)</t>
  </si>
  <si>
    <t>Age was not included:  It might also be necessary to control for firm age. However, given the unique characteristic of the sample firms (engagement in international activities within six years of establishment), the variable may be highly correlated with the length of international business experience</t>
  </si>
  <si>
    <t>The questionnaire distribution, web survey and mail survey methods also clearly refer to 2006.</t>
  </si>
  <si>
    <t xml:space="preserve">	Asia</t>
  </si>
  <si>
    <t>Mixed; ~50%Radio, TV and communications equipment and chemicals and chemical products,others incl. machinery, medical devices</t>
  </si>
  <si>
    <t>South Korean "Born Global" SMEs, internationalizing within 6 years of founding, &lt;300 employees</t>
  </si>
  <si>
    <t>Single item scale based on Gao et al. (2008); Luo (1997) Ratio of R&amp;D employees to total employees</t>
  </si>
  <si>
    <t>Single-item objective measure (% of international sales); α and CR not applicable or reported.</t>
  </si>
  <si>
    <t>Absorptive Capacity --&gt; Significant moderation of Networks → Knowledge Competency (ß = 0.293**, p &lt; .01); not significant for IBE → Knowledge Competency</t>
  </si>
  <si>
    <t>The study investigates how international business experience and network relationships drive knowledge competency and international performance in South Korean Born Global SMEs, with Absorptive Capacity moderating these effects. Using data from 271 SMEs, it finds that Absorptive Capacity significantly strengthens the impact of networks on knowledge competency, which in turn enhances international performance (measured as % foreign sales).</t>
  </si>
  <si>
    <t>Pucci et al. 2017</t>
  </si>
  <si>
    <t>The study provides a quantitative assessment of the proposed model using a sample of 411 small- and medium-sized enterprises. Response size not separately specified.</t>
  </si>
  <si>
    <t>No report on the response rate.</t>
  </si>
  <si>
    <t>411 SMEs (less than 250 employees) from Tuscany, Italy, stratified by technological intensity
we reverted the log transformation of 
e(2.28) ≈ 9.77</t>
  </si>
  <si>
    <t>we reverted the log transformation of 
e(2.93)  ≈18.73</t>
  </si>
  <si>
    <t>Data was collected through a survey conducted 2013 to 2015.The time span allowed to capture a broad and stable view of firm capabilities, business model adoption, and performance over recent years.</t>
  </si>
  <si>
    <t>Mixed: pharmaceuticals,biotrech, chemicals, machinery and equipment, basic metals and fabricated metal products, plastic products, textiles, food, beverages.
Multiple industries, stratified by technological intensity according to OECD classification:High-tech: pharmaceuticals, biotech, etc. Medium-high-tech: chemicals, machinery and equipment, etc. Medium-low-tech: basic metals, fabricated metal products, plastic products, etc. Low-tech: textiles, food, beverages, etc.</t>
  </si>
  <si>
    <t>The sample includes 411 Italian SMEs (firms with &lt;250 employees), located in Tuscany, stratified by technological intensity (high-tech, medium-high-tech, medium-low-tech, low-tech) to mitigate industry-specific biases.</t>
  </si>
  <si>
    <t>(R&amp;D expenditures/total sales) × 100 cf. Cohen and Levinthal
(1989)</t>
  </si>
  <si>
    <t>Please rate your firm’s overall performance in the last three years with respect to: De Luca et al. (2010) 1. Stated objectives 2. Main competitors’ performance 3. Industry performance
α = 0.88, CR = N/A</t>
  </si>
  <si>
    <t>The study investigates the relationships between firm capabilities, business model (BM) design, and firm performance , treating the BM as an intermediate variable. Heckman's sample selection model is used to address the endogeneity of the BM choice.</t>
  </si>
  <si>
    <t>Rahomee Aljanabi. 2017</t>
  </si>
  <si>
    <t>International Journal of Entrepreneurial Behavior &amp; Research (IJEBR)</t>
  </si>
  <si>
    <t>There were 432 out of 676 questionnaires returned and subsequently used for statistical analysis.</t>
  </si>
  <si>
    <t>(432/676)</t>
  </si>
  <si>
    <t>The study focused only on small and medium enterprises (SMEs) (1–99 employees).</t>
  </si>
  <si>
    <t>No information is given about the age of the firms.</t>
  </si>
  <si>
    <t>May 2016 - end of Sep 2016 Data were collected using a self-administered questionnaire. The survey targeted owners of industrial SMEs in three provinces of Iraq: Erbil, Sulaimaniyah, and Duhok. Data from different industries were collected sequentially, one after the other during this period.</t>
  </si>
  <si>
    <t>Iraq</t>
  </si>
  <si>
    <t>Mixed:machinery and equipment, construction materials, food industry, electric industry, non-metal industry, metal industry, textiles industry, and paper industry.</t>
  </si>
  <si>
    <t xml:space="preserve"> The sample consisted of owners of industrial SMEs operating in the machinery &amp; equipment, construction materials, food industry, electric industry, non-metal industry, metal industry, textiles, and paper industry sectors. The survey instrument was translated using back-translation methodology to ensure linguistic accuracy and administered using stratified sampling to achieve broad industry representation; no significant non-response bias was detected between early and late respondents.</t>
  </si>
  <si>
    <t xml:space="preserve">Reflective
</t>
  </si>
  <si>
    <t>Knowledge acquisition: α = 0.715  CR = 0.823,  Knowledge assimilation: α = 0.737  CR = 0.835,  Knowledge transformation: α = 0.769  CR = 0.852,  Knowledge exploitation: α = 0.795  CR = 0.867
 16 items adapted from Cohen and Levinthal (1990), Flatten,
Engelen, Zahra and Brettel (2011) and Flatten, Greve and Brettel (2011).</t>
  </si>
  <si>
    <t>Technological Innovation Capabilities</t>
  </si>
  <si>
    <t xml:space="preserve"> Product Innovation Capabilities:  α = 0.830  CR = 0.882                                     Process Innovation Capabilities:    α = 0.922      CR = 0.937 Performance was measured as Technological Innovation Capabilities (TIC) using a reflective multi-item scale composed of two dimensions: Product Innovation Capabilities (5 items) and Process Innovation Capabilities (11 items). Both dimensions showed high internal consistency with Cronbach's α ≥ 0.83 and Composite Reliability (CR) ≥ 0.88, indicating strong reliability of the measurement model.
TIC was measured using a 16-item scale adapted from Camisón and Villar-López (2012) and Tuominen and Hyvönen (2004).</t>
  </si>
  <si>
    <t>ACAP → TIC β = 0.218, t = 4.469, p &lt; 0.001</t>
  </si>
  <si>
    <t xml:space="preserve">The study's findings indicate that absorptive capacity (ACAP) has a mediating role in the relationship between entrepreneurial orientation (EO) and technological innovation capabilities (TIC). This mediation was found to be partial.
The study use irrelevant DV, so we excluded this.
</t>
  </si>
  <si>
    <t>Raisal et al. 2020</t>
  </si>
  <si>
    <t>World Journal of Entrepreneurship, Management and Sustainable Development</t>
  </si>
  <si>
    <t>226 valid responses (58.54%) from 386 SMEs surveyed in Colombo &amp; suburbs across multiple industries; respondents were senior managers</t>
  </si>
  <si>
    <t>(226/386)</t>
  </si>
  <si>
    <t>SMEs with 5–199 employees; majority (77%) have 25–199 employees. others(23) 5-24 employees; annual sales mostly &gt;11M Rs (76.1%) others (23.9%) 1M-10M Rs.</t>
  </si>
  <si>
    <t>Age is not reported.</t>
  </si>
  <si>
    <t>Sri Lanka</t>
  </si>
  <si>
    <t>Mixed: Food &amp; beverages, agricultural products, machinery and equipment, plastics and associates, pharmaceutical/cosmetic, other industries</t>
  </si>
  <si>
    <t>Senior managers of SMEs in Colombo and suburbs; multi-industry sample: Food &amp; Beverages (39.8%), Agricultural products (19.5%), Machinery &amp; Equipment (12.4%), Plastics &amp; associates (9.8%), Pharmaceutical/Cosmetic (8.8%), Other industries (9.7%); 70.8% male respondents.</t>
  </si>
  <si>
    <t>α = 0.95; CR = 0.95
Based on Flatten et al. (2011) 14 items (3 acquisition, 4 assimilation, 4 transformation, 3 exploitation)</t>
  </si>
  <si>
    <t>α = 0.78, CR = 0.86
Eventually, entrepreneurial success is regarded as FP, which was measured by 4-items developed by Chen et al. (2007)</t>
  </si>
  <si>
    <t>ACAP → FP ß = 0.41, t-value = 8.4, 95% CI [0.30, 0.49] + 0.05</t>
  </si>
  <si>
    <t>The study investigates the mediating role of Absorptive Capacity (ACAP) in the relationship between Entrepreneurial Orientation (EO) and Firm Performance (FP)</t>
  </si>
  <si>
    <t>Raymond et al. 2015</t>
  </si>
  <si>
    <t>2015 48th Hawaii International Conference on System Sciences - BEST PAPER AWARD</t>
  </si>
  <si>
    <t>3000 manufacturing SMEs in Quebec were contacted; 588 usable responses were received ). The sample was validated as representative of the target population in terms of firm size and industry through chi-square tests. SMEs defined as firms with fewer than 250 employees, with an average size of 51 employees and a maximum of 230 employees.</t>
  </si>
  <si>
    <t>(588/3000)</t>
  </si>
  <si>
    <t xml:space="preserve"> SMEs defined as firms with fewer than 250 employees; mean firm size = 51 employees; maximum = 230 employees.</t>
  </si>
  <si>
    <t xml:space="preserve">Canada </t>
  </si>
  <si>
    <t>Knowledge Acquisition and Assimilation Capabilities</t>
  </si>
  <si>
    <t>KAA capabilities of SMEs are assessed through three index measures by asking the SME ownermanagers to indicate the number of business activities for which the Internet and the Web are used in their organization. 
The three indicator loadings (λ) on this construct being greater than 0.70, its unidimensionality is confirmed. A composite reliability coefficient value of 0.87, above the 0.80 threshold, confirms its internal consistency</t>
  </si>
  <si>
    <t>Competitive performance</t>
  </si>
  <si>
    <t>the indicators of internationalization performance measured is export intensity, using the commonly-used ratio of foreign sales to total sales</t>
  </si>
  <si>
    <t xml:space="preserve">As expected by the knowledge management
literature, KTE capabilities were found to have a strong
effect on competitive performance (β = 0.44, p &lt; 0.01). </t>
  </si>
  <si>
    <t>Raymond et al. 2016</t>
  </si>
  <si>
    <t>Knowledge and Process Management</t>
  </si>
  <si>
    <t>3000 manufacturing SMEs, that is, firms with a minimum of 20 and a maximum of 249 employees, were randomly chosen from a repertory of all manufacturing firms in the province of Quebec, Canada, and their owner–managers or CEOs were contacted by phone.</t>
  </si>
  <si>
    <t xml:space="preserve"> Of these, 588 responded affirmatively and answered the survey, thus providing a 19.6% response rate.</t>
  </si>
  <si>
    <t>The mean size of the sampled manufacturing SMEs, in terms of number of employees, is 51, with 19% of the sampled firms being very small, 45% being small, and 36% being mediumsized (medium-sized enterprises: 50–230).</t>
  </si>
  <si>
    <t>… all manufacturing firms in the province of Quebec, Canada, and their owner–managers or CEOs were contacted by phone.</t>
  </si>
  <si>
    <t>These firms operate in many different industrial sectors, including metal products (18% of the sample), textile products (13%), non-metallic mineral products (10%), printing (7%), computers and electronics (7%), beverage and tobacco (4%), and furniture (4%).</t>
  </si>
  <si>
    <t>Almost half of the sampled firms (49%) operate in sectors of low technological intensity, 32% in medium to low-tech sectors, 17% in medium to high-tech sectors, and only 2% in high-tech sectors.</t>
  </si>
  <si>
    <t>It-enabled knowledge acquisition and assimilation capabilities</t>
  </si>
  <si>
    <t>The proposed activities are regrouped under three categories, namely, eintelligence (e.g., prospecting abroad for new customers), e-commerce (e.g., selling the firm’s products), and e-collaboration (e.g., interacting in R&amp;D with business partners for new product development). This categorization of e-business capabilities as “outside-in” IT capabilities (Wade and Hulland, 2004) corresponds to the different levels of e-business development observed in SMEs (Levy and Powell, 2003; Raymond and Bergeron, 2008)</t>
  </si>
  <si>
    <t>Competitive performance of the SME</t>
  </si>
  <si>
    <t>Competitive performance is assessed through innovation performance ... Given that exporting is still the prevalent mode of entry into foreign markets for manufacturing SMEs (Armario et al., 2008), the indicators of internationalization performance measured are export intensity, using the commonly used ratio of foreign sales to total sales (Ruigrok et al., 2007).</t>
  </si>
  <si>
    <t>Calculated by te mean of three formative constructs, including e-Intelligence capability, e-Commerce capability, and e-Collaboration capability, having the correlations of 0.10, 0.05, and 0.03 with perf.</t>
  </si>
  <si>
    <t>Entrepreneutial Orientation</t>
  </si>
  <si>
    <t>The primary finding of this study is that the ACAP of manufacturing SMEs, as determined by their ability to
coherently configure their IT-enabled KAA capabilities and KTE capabilities, significantly contributes to the competitive performance of these firms</t>
  </si>
  <si>
    <t>Rhee et al. 2010</t>
  </si>
  <si>
    <t>Technovation</t>
  </si>
  <si>
    <t>a total of 2000 structured questionnaires were mailed to the potential respondents. In order to raise response rates, we made face-to-face contacts with CEOs or senior managers of approximately 90 of the firms mailed.</t>
  </si>
  <si>
    <t>That is to say, wherever possible, we made appointments to personally deliver questionnaires to the respondents. A total of 354 usable questionnaires were received, yielding a response rate of 17.7%.</t>
  </si>
  <si>
    <t>caculated through the weightened mean of the sample.</t>
  </si>
  <si>
    <t>Calculated thorugh the wigthened avrage of the age of the firms since the date of establishment</t>
  </si>
  <si>
    <t>The data for this study were collected from Inno-biz firms and technology-innovative venture firms in South Korea in a crosssectional fashion.</t>
  </si>
  <si>
    <t>Mostly Service firms</t>
  </si>
  <si>
    <t xml:space="preserve">The Inno-biz firms represent technologyintensive and innovation-oriented SMEs, which are recognized by South Korean government on the basis of the process of innovativeness evaluation. </t>
  </si>
  <si>
    <t>we measured 2 sub-dimensions as a proxy for learning orientation with 6 items developed on the basis of previous literature… The chronbach alpha was calculated by the mean of the two underlying variables, 0.685, 0.777</t>
  </si>
  <si>
    <t xml:space="preserve">Performance was assessed using 3 subjective indicators… Respondents were instructed to provide the extent of relative performance, including profitability, sales growth, and market share over the past 3 years, as compared with their principal competitor. </t>
  </si>
  <si>
    <t>Calculated through the mean of the correlations of the two Absorptive capacity variable with Perf: -0.17* and -0.20*</t>
  </si>
  <si>
    <t>Firm size
Firm age</t>
  </si>
  <si>
    <t>Rodríguez‐Serrano &amp; Martín‐Armario. 2019</t>
  </si>
  <si>
    <t>The study has irrelevant DV.</t>
  </si>
  <si>
    <t>Rua et al. 2018</t>
  </si>
  <si>
    <t xml:space="preserve">A total of 247 complete and validated questionnaires accounting for 25 per cent of the population were obtained. This response rate is considered quite satisfactory, given that the average of top management survey response rates are in the range of 15-20 per cent </t>
  </si>
  <si>
    <t>SML</t>
  </si>
  <si>
    <t>No further information was given on the firms sizes.</t>
  </si>
  <si>
    <t>No information was given on the firm age.</t>
  </si>
  <si>
    <t>Questionnaires were used as primary data sources and were carried out over the period of 16 February to 30 April 2016…</t>
  </si>
  <si>
    <t>The identification of companies was done through the Portugal’s Textile Association (Associac¸a˜o Teˆxtil de Portugal – ATP) database.</t>
  </si>
  <si>
    <t>Textile</t>
  </si>
  <si>
    <t>According to Zahra and George (2002), ACAP construct is divided in PACAPs e RACAPs. To measure this construct, we use Jansen et al. (2005) scale.</t>
  </si>
  <si>
    <t>perceived EP was measured with five items, using Okpara’s (2009) measurement instrument, which includes profitability indicators such as growth in sales, profit, activities and operations and performance in general.</t>
  </si>
  <si>
    <t>Calculated by the eman of the corerlations of the two variables of AC Acquisition and AC Assimilation: 0.390, 0.466.</t>
  </si>
  <si>
    <t>Saad et al. 2017</t>
  </si>
  <si>
    <t>International Journal of Production Research</t>
  </si>
  <si>
    <t>Awareness</t>
  </si>
  <si>
    <t>Exploitation</t>
  </si>
  <si>
    <t>The study has irrelevant IV and DV. So, we excluded this.</t>
  </si>
  <si>
    <t>Salisu &amp; Mohammed. 2019</t>
  </si>
  <si>
    <t>Journal of Economic Info</t>
  </si>
  <si>
    <t>A total of 575 questionnaires were
administered to SMEs operating in the state.</t>
  </si>
  <si>
    <t xml:space="preserve"> Subsequently a total of 217 questionnaires were retrieved, 9 questionnaires were identified as suspicious and consider not suitable for the analysis. Consequently, 206 valid questionnaires were used for in the analyses.</t>
  </si>
  <si>
    <t>No information available.</t>
  </si>
  <si>
    <t>Nigeria</t>
  </si>
  <si>
    <t>The data of this study were collected from SMEs in Kano state northern Nigeria</t>
  </si>
  <si>
    <t>No information of the insdustry was stated.</t>
  </si>
  <si>
    <t>SME Performance</t>
  </si>
  <si>
    <t>Calculated by adding 0.05 to the Beta of the direct relationship between the two variables.</t>
  </si>
  <si>
    <t>After considering the extent of important missing values and the low qulaity of the journal, we decided to not include this paper.</t>
  </si>
  <si>
    <t>Saunila 2014</t>
  </si>
  <si>
    <t>Journal of Advances in Management Research</t>
  </si>
  <si>
    <t>SMEs: 11–249 employees, €2–50 million revenue</t>
  </si>
  <si>
    <t>No of employees 
10-49 224 72.0
50-249 87 28.0</t>
  </si>
  <si>
    <t>questionnaire developed in prior research cycle, published in 2014)</t>
  </si>
  <si>
    <t>Finland</t>
  </si>
  <si>
    <t>Industrial (46.6%) and Service (51.1%)</t>
  </si>
  <si>
    <t>30 items</t>
  </si>
  <si>
    <t>Overall: 0.903; all dimensions &gt; 0.60 except "individual activity" (0.486)</t>
  </si>
  <si>
    <t>Overall Performance</t>
  </si>
  <si>
    <t>Not separately reported for these 2 items</t>
  </si>
  <si>
    <t>The measure of innovation capability was not close to the way of measuring Absorptive Capacity through innovation or R&amp;D, so we decided to exclude this.</t>
  </si>
  <si>
    <t>Sawaean &amp; Ali . 2020</t>
  </si>
  <si>
    <t>Management Science Letters</t>
  </si>
  <si>
    <t>The questionnaire was distribution among 500 owners and CEOs out of them 392 questionnaires were returned.</t>
  </si>
  <si>
    <t>The target population of this research was the owners and CEOs of Kuwait’s SMEs,…</t>
  </si>
  <si>
    <t>Kuwait</t>
  </si>
  <si>
    <t>Due to the exntent of missing data and the low quality of the journal, at the end, we decided to exclude this paper.</t>
  </si>
  <si>
    <t>Scuotto et al. 2017</t>
  </si>
  <si>
    <t>Shah et al. 2023</t>
  </si>
  <si>
    <t>International Journal of Productivity and Performance</t>
  </si>
  <si>
    <t xml:space="preserve">In return, we received 194 raw samples that represented a 64% return rate. </t>
  </si>
  <si>
    <t>We detected only two useless samples with outliers and missing values. Finally, we processed 192 useable samples for the final assessment.</t>
  </si>
  <si>
    <t>The age of the participants at the organization level are given, which would not be a good estimate of the age of the firm.</t>
  </si>
  <si>
    <t>Pakistan</t>
  </si>
  <si>
    <t>We choose the managers of Pakistan’s manufacturing industries due to the leading individuals within these SMEs in contributing to resolving employees’ concerns.</t>
  </si>
  <si>
    <t>Not specifically mentioned, but denotes that it is a mix of SMEs from diverse industries.</t>
  </si>
  <si>
    <t>...we found the overall reliability of the survey tool as greater than 0.70 (&gt;0.70), which is considered good...</t>
  </si>
  <si>
    <t>Shashem 2024</t>
  </si>
  <si>
    <t>Business Process Management Journal</t>
  </si>
  <si>
    <t xml:space="preserve"> The examination revealed that the sample size should exceed 112, so we targeted a total of 700 questionnaires from the firms.</t>
  </si>
  <si>
    <t>... 468 valid questionnaires were gathered, which represents a satisfactory sample size
with an R2 value higher than 80%.</t>
  </si>
  <si>
    <t xml:space="preserve">A random sample from manufacturing firms, was utilized to conduct the study. </t>
  </si>
  <si>
    <t>I4.0 Adoption</t>
  </si>
  <si>
    <t>Paper not included as it contains irelevant IV or DV.</t>
  </si>
  <si>
    <t>Sok et al. 2013</t>
  </si>
  <si>
    <t>Australasian Marketing Journal</t>
  </si>
  <si>
    <t>Of the 1000 firms contacted for participation, 350 firms agreed to participate. We managed to obtain 171 completed questionnaires with a response rate of 17.1%.</t>
  </si>
  <si>
    <t>The average firm size is 33 full-time employees while the average firm age is 10.5 years.</t>
  </si>
  <si>
    <t>Cambodia</t>
  </si>
  <si>
    <t>This study’s focus on SMEs
in emerging economies such as Cambodia…</t>
  </si>
  <si>
    <t>The samples of this study were manufacturing SMEs in Cambodia. 1000 SMEs from four major industries–agricultural products, foods and drinks, furniture, and decoration …</t>
  </si>
  <si>
    <t xml:space="preserve"> (CR = 0.91, AVE = 0.73); we used CR</t>
  </si>
  <si>
    <t>(CR = 0.92, AVE = 0.87); we used CR.</t>
  </si>
  <si>
    <t>The interaction term among Innovation Capability (IC), Marketing Capability (MC), and Learning Capability (LC)</t>
  </si>
  <si>
    <t>Stoian et al. 2017</t>
  </si>
  <si>
    <t>The survey was administrated, by invitation, to 1,876 decision-makers via personalized emails …</t>
  </si>
  <si>
    <t>.., followed by two reminders. A total of 251 answers were obtained representing an effective response rate of 13.4 percent</t>
  </si>
  <si>
    <t>After eliminating incomplete questionnaires, a valid sample of 190 observations was obtained, representing a broad range of manufacturing and service sectors (corresponding to 10 two-digit SIC groups) with an average business age of 41 years and average size of 39 employees.</t>
  </si>
  <si>
    <t>This study focuses on internationalized U.K...
SMEs</t>
  </si>
  <si>
    <t>Forein Market Knowledge</t>
  </si>
  <si>
    <t>Sujoko et al. 2022</t>
  </si>
  <si>
    <t>Jurnal Ekonomi Bisnis dan Kewirausahaan</t>
  </si>
  <si>
    <t xml:space="preserve">The number of samples was determined from a total population of 347 SMEs using the Slovin formula </t>
  </si>
  <si>
    <t>Indonesia</t>
  </si>
  <si>
    <t>This research was conducted in Malang City…</t>
  </si>
  <si>
    <t>Culinary (Food and Beverages) 
Crafts 
Fashions
Game Developers 
Animated Films and Video Photography</t>
  </si>
  <si>
    <t>Calcualted by the mean of the three underlying constructs of AC.</t>
  </si>
  <si>
    <t>calcualted by mean of the of the two underlying constructs of BP.</t>
  </si>
  <si>
    <t>Calcualted by adding 0.05 to the path coeffiecient of the relationship.</t>
  </si>
  <si>
    <t>Tzokas et al. 2015</t>
  </si>
  <si>
    <t xml:space="preserve">Industrial Marketing Management </t>
  </si>
  <si>
    <t>Completed questionnaires were collected at a time agreed with the exhibitors on the last day of the exhibitions. Such an approach enabled the highly effective 53.7% response rate equivalent to 219 SMEs.</t>
  </si>
  <si>
    <t>Overall, the average age of the firms in our effective sample was 16.38 years…</t>
  </si>
  <si>
    <t>Primary data for this study were collected in 2011</t>
  </si>
  <si>
    <t xml:space="preserve">... at the Semicon Korea and Led Korea annual exhibitions as they comprise South East Asia's largest semiconductor industry events. </t>
  </si>
  <si>
    <t>Committed to the manufacturing of advanced microelectronics, both exhibitions are organized by Semiconductor Equipment and Materials International (SEMI).</t>
  </si>
  <si>
    <t>while 80% of the respondents in the effective sample where CEOs (24%), senior managers (43%), managers (13%) or employees (20%), with an average time with the firm of 4.97 years.</t>
  </si>
  <si>
    <t>calcualted by mean of the of the three underlying constructs of BP.</t>
  </si>
  <si>
    <t>Calculated by the mean of the nine correlations.</t>
  </si>
  <si>
    <t>Valdez-Juarez et al. 2019</t>
  </si>
  <si>
    <t>We excluded the paper as it belonged to Sustinability Journal.</t>
  </si>
  <si>
    <t>Valentim et al. 2015</t>
  </si>
  <si>
    <t>R&amp;D Management</t>
  </si>
  <si>
    <t>Knowledge management acquisition practice</t>
  </si>
  <si>
    <t>Knowledge performance</t>
  </si>
  <si>
    <t>We excluded the as it has irelevant quantitative method compared to other papers.</t>
  </si>
  <si>
    <t>Wahyono &amp; Hutahayan. 2021</t>
  </si>
  <si>
    <t>Asia Pacific Management Review</t>
  </si>
  <si>
    <t>Samples taken from this study are based on the Slovin formula (Fernandes &amp; Solimun, 2017).</t>
  </si>
  <si>
    <t xml:space="preserve"> From a population of 125 textile industry SMEs in Central Java and Bali, with the Slovin formula, 94 respondents were obtained. The sampling method used was stratified proportional random sampling.</t>
  </si>
  <si>
    <t>From a population of 125 textile industry SMEs in Central Java and Bali</t>
  </si>
  <si>
    <t>The paper uses "Analysis of the data used is path analysis using GSCA," which is a statistical method that does not provide reiability or correlation o direct path coefficients.</t>
  </si>
  <si>
    <t>Wahyuni et al. 2019</t>
  </si>
  <si>
    <t>Journal of Workplace Learning</t>
  </si>
  <si>
    <t>The population of this research was all of SMEs of textile industry in Bali which amounted to 125 textile industries. The number of samples taken referred to the Slovin formula (Fernandes and Solimun, 2017), which obtained the sample size of 94 respondents.</t>
  </si>
  <si>
    <t>During the analysis, 24 of the 94 questionnaires had to be canceled for various reasons …</t>
  </si>
  <si>
    <t>employees between 5 and 99 people in the province of Bali…</t>
  </si>
  <si>
    <t xml:space="preserve">The data was collected from manufacturing SMEs of textile products that had a number of employees between 5 and 99 people in the province of Bali, Indonesia, in 2016. </t>
  </si>
  <si>
    <t>The data was collected from manufacturing SMEs of textile products that had a number of employees between 5 and 99 people in the province of Bali, Indonesia, in 2016.</t>
  </si>
  <si>
    <t>The data was collected from manufacturing SMEs of textile products</t>
  </si>
  <si>
    <t>The reliability test was using a statistical test by measuring the Cronbach alpha. A research instrument is considered reliable if it has a Cronbach alpha beyond or equal to 0.60.</t>
  </si>
  <si>
    <t>The indirect effect between the two construct has coefficient of 0,102, and we calculated the effect size by adding 0.05.</t>
  </si>
  <si>
    <t>WALES et al. 2013</t>
  </si>
  <si>
    <t>Strategic Management Journal</t>
  </si>
  <si>
    <t>A total of 285 complete usable questionnaires were received.</t>
  </si>
  <si>
    <t xml:space="preserve">Questionnaires were mailed between March and May of 2007. The questionnaire was addressed to the chief
executive officer (CEO) of the SME with a letter explaining the purpose of the study. </t>
  </si>
  <si>
    <t>In 2007, firms were sampled from a Swedish business database (Aff¨ arsdata).</t>
  </si>
  <si>
    <t>Sweden</t>
  </si>
  <si>
    <t>The lowest item loading1 was 0.802 (t = 6.974), and the scale showed acceptable reliability (α = 0.83).</t>
  </si>
  <si>
    <t>Firm Growth</t>
  </si>
  <si>
    <t>The variable was measured objectively.</t>
  </si>
  <si>
    <t>The effect size was calcualted by the mean of the correclations of the three constructs of Business growth with AC.</t>
  </si>
  <si>
    <t>Entrepreneurial Orientation</t>
  </si>
  <si>
    <t>Wang et al. 2009</t>
  </si>
  <si>
    <t>Industrial Management &amp; Data Systems</t>
  </si>
  <si>
    <t>A total of 122 bicycle companies with 70 or more employees each were drawn from the 2003 Directory of the Taiwan Bicycle Exporters’ Association.</t>
  </si>
  <si>
    <t>39.8</t>
  </si>
  <si>
    <t xml:space="preserve">Because survey response rates for academic research from business organizations typically are low and fall within the range of 20-30 percent (Tootelian and Gadeke, 1987), the questionnaire was followed by mails and phone calls to remind R&amp;D managers or owners to complete the survey. </t>
  </si>
  <si>
    <t>Among the 49 participant firms, the sizes of bicycle companies range from 55 to 510, and 51.02 percent of them have ,100 employees. About 71 percent of the firms have a capital of less than NT$ 6,000,000. Most of them (61.22 percent) have ,10 R&amp;D personnel (range: 2-40).</t>
  </si>
  <si>
    <t>It was not specified, and we used the Owner’s depth of experience as a makeshift substitute.</t>
  </si>
  <si>
    <t>The year of data collection was not specified, so we used the year of publication (2009) as a reference.</t>
  </si>
  <si>
    <t>Bycicle Industry</t>
  </si>
  <si>
    <t>Their R&amp;D investment ranged from 1 to 15 percent of their annual budgets and was mostly (75.52 percent) ,6 percent in the past five years. Most company owners have about 20 years of technical experiences, whereas the length of technical experiences of their R&amp;D staffs averages to only eight years.</t>
  </si>
  <si>
    <t>Questionnaires were mailed to the R&amp;D managers or owners of the firms.</t>
  </si>
  <si>
    <t>The paper was excluded as it uses irrelevant DV.</t>
  </si>
  <si>
    <t>Wu et al. 2020</t>
  </si>
  <si>
    <t>Frontiers in Psychology</t>
  </si>
  <si>
    <t>SMEs (confirmed by targeting Taiwanese SMEs)
No mean provided for the firm size</t>
  </si>
  <si>
    <t>No mean provided for the firm size.</t>
  </si>
  <si>
    <t>Manufacturing SMEs (e.g., motor, electronics, chemicals, IT, semiconductors)</t>
  </si>
  <si>
    <t>Inno-Biz certified internationalized Taiwanese SMEs; purposive sample of senior managers</t>
  </si>
  <si>
    <t>19-item second-order scale: PAC (acquisition + assimilation), RAC (transformation + application); based on Flatten et al. (2011), Camisón &amp; Forés (2010), Zahra &amp; George (2002)
α = 0.832–0.843; CR = 0.814–0.842</t>
  </si>
  <si>
    <t>Competitive Advantage</t>
  </si>
  <si>
    <t>α = 0.770–0.843; CR = 0.812–0.850</t>
  </si>
  <si>
    <t>RAC → CA: β = 0.158, p &lt; .001 + 0.05
12-item Competitive Advantage scale (differentiation, cost, institutional advantages)</t>
  </si>
  <si>
    <t>Learning Orientation --&gt; Moderates RE → PAC (β = 0.129, p &lt; .05) and RE → RAC (β = 0.238, p &lt; .01)</t>
  </si>
  <si>
    <t xml:space="preserve">AC fully mediates RE → Competitive Advantage. LO moderates RE → AC. Ambidexterity (PAC × RAC) not significant. SEM and SmartPLS used. Controls: firm size and age included in correlation matrix, not modeled.
</t>
  </si>
  <si>
    <t>Yoo et al. 2020</t>
  </si>
  <si>
    <t>Journal of Small Business Managemen</t>
  </si>
  <si>
    <t>35.1</t>
  </si>
  <si>
    <t>(120/342)</t>
  </si>
  <si>
    <t xml:space="preserve">SMEs (≤100 employees; avg. 43.8 employees
)
</t>
  </si>
  <si>
    <t>The respondent firms had a mean age of 4.29 years and a mean size of 43.8 employees. Table 1 provides the profile of the respondent firms.</t>
  </si>
  <si>
    <t>Mixed (e.g., ICT, electronics, machinery, pharma)</t>
  </si>
  <si>
    <t>Innovation-based SMEs (Inno-Biz firms certified by the Korean government)</t>
  </si>
  <si>
    <t>5-item general AC scale developed from Hult &amp; Ferrell (1997), Cohen &amp; Levinthal (1994)
α = 0.71; CR = N/A</t>
  </si>
  <si>
    <t>Learning outcomes</t>
  </si>
  <si>
    <t>TL: α = 0.86; NTL: α = 0.77; CR = N/A
3-item Technological Learning + 4-item Non-technological Learning</t>
  </si>
  <si>
    <t xml:space="preserve">AC fully mediates learning intent → technological learning (not NTL). Uses CB-SEM. Constructs: learning intent, AC, relational capital. Relational capital positively predicts both TL and NTL. Control variables included but not reported. No interaction/moderator terms tested.
</t>
  </si>
  <si>
    <t>Zahoor et al. 2022</t>
  </si>
  <si>
    <t>Asia Pacific Journal of Management</t>
  </si>
  <si>
    <t>56.4</t>
  </si>
  <si>
    <t>SMEs (&lt;250 employees, per SMEDA definition)
Small firms = 72 firms, average size = 50
Medium firms = 104 firms, average size = 150</t>
  </si>
  <si>
    <t>July 2020 – January 2021</t>
  </si>
  <si>
    <t>Mixed (ICT, textile, cotton, sports, machinery, electrical, services)</t>
  </si>
  <si>
    <t>SMEs with strategic alliances, surveyed via in-person distribution in 8 cities</t>
  </si>
  <si>
    <t>PAC: α = 0.92, CR = 0.92; RAC: α = 0.90, CR = 0.90
9-item second-order scale (5 PAC, 4 RAC); adapted from Sheng &amp; Chien (2016)</t>
  </si>
  <si>
    <t>responsible innovation</t>
  </si>
  <si>
    <t>α = 0.93, CR = 0.92
Responsible Innovation (8 items from Stilgoe et al., Wickson &amp; Carew)</t>
  </si>
  <si>
    <t>AC → RI: β = 0.28, p &lt; .001 (mediation); AL → RI: β drops to ns</t>
  </si>
  <si>
    <t>Sense-making competency --&gt; Moderates AC → RI (β = 0.25, p &lt; .001); stronger indirect effect at high levels</t>
  </si>
  <si>
    <t>We excluded this paper, as it contains irrelevant DVs.</t>
  </si>
  <si>
    <t>Zhai et al. 2018</t>
  </si>
  <si>
    <t>Sustainablilty</t>
  </si>
  <si>
    <t>75.1</t>
  </si>
  <si>
    <t>(302/402)</t>
  </si>
  <si>
    <t>SMEs (defined per Chinese classification; &lt;300 employees)</t>
  </si>
  <si>
    <t>Mixed: 8 sectors (e.g., electronics, metals, chemicals, printing)</t>
  </si>
  <si>
    <t>Manufacturing SMEs from the Yangtze River Delta</t>
  </si>
  <si>
    <t>26-item scale from Lichtenthaler (2009); exploratory, transformative, and exploitative learning</t>
  </si>
  <si>
    <t>α = 0.912; CR = 0</t>
  </si>
  <si>
    <t>Technological Innovation Performance – 3 items: new products, patents, new technologies/processes</t>
  </si>
  <si>
    <t>α = 0.894; CR = N/A</t>
  </si>
  <si>
    <t>β = 0.098 (moderation effect); interaction term EO × AC → Performance is significant</t>
  </si>
  <si>
    <t>Environmental Dynamism --&gt; Moderates AC's influence on EO → Innovation Performance (β = 0.088, p &lt; 0.05)
Absorptive Capacity --&gt; Moderates EO → Innovation Performance</t>
  </si>
  <si>
    <t>Tests a moderated moderation model (EO × AC × ED → Innovation). Full SEM analysis with controls for ownership, age, R&amp;D intensity, industry. High-quality dataset from 8 industries in the Yangtze Delta. CR not provided but alpha values meet threshold.</t>
  </si>
  <si>
    <t>Zhou et al. 2022</t>
  </si>
  <si>
    <t>21.2</t>
  </si>
  <si>
    <t>SMEs (&lt;200 employees per authors' definition)</t>
  </si>
  <si>
    <t>March–May 2021</t>
  </si>
  <si>
    <t>Internationalized SMEs (manufacturing; services excluded)</t>
  </si>
  <si>
    <t>Targeted SMEs with international cooperation experience; service firms excluded</t>
  </si>
  <si>
    <t>19-item scale from Camisón and Forés (2010), second-order: PAC (acquisition, assimilation), RAC (transformation, application)</t>
  </si>
  <si>
    <t>CRs: PAC = 0.888; RAC = 0.874; αs all &gt; 0.80</t>
  </si>
  <si>
    <t>relational performance</t>
  </si>
  <si>
    <t>α = 0.894; CR = 0.919</t>
  </si>
  <si>
    <t>PAC → Perf: β = 0.149 (ns); RAC → Perf: β = 0.071 (ns); no significant direct effect
6-item Relational Performance scale adapted from Selnes &amp; Sallis (2003)</t>
  </si>
  <si>
    <t>AC does not significantly impact relational performance; relational memory mediates RE → AC and RE → performance. Full SEM model tested in SmartPLS. Data collected during COVID-19.
we excluded the paper as it has orrelevant Dv.</t>
  </si>
  <si>
    <t>Motivation Towards Success [Hofstede]</t>
  </si>
  <si>
    <t>Uncertainty Avoidance [Hofstede]</t>
  </si>
  <si>
    <t>Adjusted R</t>
  </si>
  <si>
    <t>Absortive Capacity</t>
  </si>
  <si>
    <t>Overall performance</t>
  </si>
  <si>
    <t>Organizational performance</t>
  </si>
  <si>
    <t>United Kingdom</t>
  </si>
  <si>
    <t>Mean Eigenfactor</t>
  </si>
  <si>
    <t>Mean Response rate</t>
  </si>
  <si>
    <t>Mean Firm size Numerized</t>
  </si>
  <si>
    <t>Mean Firm Age</t>
  </si>
  <si>
    <t>Mean Year of Data collection</t>
  </si>
  <si>
    <t>mean Motivation ..</t>
  </si>
  <si>
    <t>Mean Uncertainty Avoidance</t>
  </si>
  <si>
    <t>Mean AC num of items</t>
  </si>
  <si>
    <t>Mean AC Alpha or CR</t>
  </si>
  <si>
    <t>Mean Perf num of items</t>
  </si>
  <si>
    <t>Mean Perf alpha or CR</t>
  </si>
  <si>
    <t>Mean AC-Perf Corr.</t>
  </si>
  <si>
    <t>Mean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</si>
</sst>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sz val="11"/>
      <name val="Calibri"/>
      <family val="2"/>
      <scheme val="minor"/>
    </font>
    <font>
      <sz val="11"/>
      <color rgb="FF000000"/>
      <name val="Calibri"/>
      <family val="2"/>
      <scheme val="minor"/>
    </font>
    <font>
      <sz val="11"/>
      <color rgb="FF242424"/>
      <name val="Calibri"/>
      <family val="2"/>
      <scheme val="minor"/>
    </font>
    <font>
      <b/>
      <sz val="11"/>
      <color rgb="FF000000"/>
      <name val="Calibri"/>
      <family val="2"/>
      <scheme val="minor"/>
    </font>
    <font>
      <sz val="11"/>
      <color rgb="FF000000"/>
      <name val="Calibri"/>
      <family val="2"/>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alignment vertical="top" wrapText="1" readingOrder="1"/>
    </xf>
  </cellStyleXfs>
  <cellXfs count="25">
    <xf numFmtId="0" fontId="0" fillId="0" borderId="0" xfId="0">
      <alignment vertical="top" wrapText="1" readingOrder="1"/>
    </xf>
    <xf numFmtId="0" fontId="4" fillId="0" borderId="0" xfId="0" applyFont="1" applyAlignment="1">
      <alignment horizontal="left" vertical="center" wrapText="1"/>
    </xf>
    <xf numFmtId="2" fontId="4" fillId="0" borderId="0" xfId="0" applyNumberFormat="1"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2" fontId="0" fillId="0" borderId="0" xfId="0" applyNumberFormat="1" applyAlignment="1">
      <alignment horizontal="left" vertical="center" wrapText="1"/>
    </xf>
    <xf numFmtId="0" fontId="0" fillId="2" borderId="0" xfId="0" applyFill="1" applyAlignment="1">
      <alignment horizontal="left" vertical="center" wrapText="1"/>
    </xf>
    <xf numFmtId="9" fontId="0" fillId="0" borderId="0" xfId="0" applyNumberFormat="1" applyAlignment="1">
      <alignment horizontal="left" vertical="center" wrapText="1"/>
    </xf>
    <xf numFmtId="0" fontId="6" fillId="0" borderId="0" xfId="0" applyFont="1" applyAlignment="1">
      <alignment horizontal="left" vertical="center" wrapText="1"/>
    </xf>
    <xf numFmtId="2" fontId="0" fillId="2" borderId="0" xfId="0" applyNumberFormat="1" applyFill="1" applyAlignment="1">
      <alignment horizontal="left" vertical="center" wrapText="1"/>
    </xf>
    <xf numFmtId="49" fontId="0" fillId="0" borderId="0" xfId="0" applyNumberFormat="1" applyAlignment="1">
      <alignment horizontal="left" vertical="center" wrapText="1"/>
    </xf>
    <xf numFmtId="10" fontId="0" fillId="0" borderId="0" xfId="0" applyNumberFormat="1" applyAlignment="1">
      <alignment horizontal="left" vertical="center" wrapText="1"/>
    </xf>
    <xf numFmtId="0" fontId="0" fillId="0" borderId="0" xfId="0" applyAlignment="1">
      <alignment vertical="center" wrapText="1"/>
    </xf>
    <xf numFmtId="0" fontId="0" fillId="3" borderId="0" xfId="0" applyFill="1" applyAlignment="1">
      <alignment horizontal="left" vertical="center" wrapText="1"/>
    </xf>
    <xf numFmtId="0" fontId="5" fillId="3" borderId="0" xfId="0" applyFont="1" applyFill="1" applyAlignment="1">
      <alignment horizontal="left" vertical="center" wrapText="1"/>
    </xf>
    <xf numFmtId="0" fontId="2" fillId="0" borderId="0" xfId="0" applyFont="1" applyAlignment="1">
      <alignment horizontal="left" vertical="center" wrapText="1"/>
    </xf>
    <xf numFmtId="0" fontId="8" fillId="0" borderId="0" xfId="0" applyFont="1" applyAlignment="1">
      <alignment vertical="center" wrapText="1"/>
    </xf>
    <xf numFmtId="0" fontId="0" fillId="0" borderId="0" xfId="0" applyAlignment="1">
      <alignment horizontal="left" vertical="center" wrapText="1" readingOrder="1"/>
    </xf>
    <xf numFmtId="0" fontId="0" fillId="0" borderId="0" xfId="0" applyAlignment="1">
      <alignment horizontal="left" vertical="top" wrapText="1" readingOrder="1"/>
    </xf>
    <xf numFmtId="0" fontId="1" fillId="0" borderId="0" xfId="0" applyFont="1" applyAlignment="1">
      <alignment horizontal="left" vertical="center" wrapText="1"/>
    </xf>
    <xf numFmtId="2" fontId="0" fillId="0" borderId="0" xfId="0" applyNumberFormat="1" applyAlignment="1">
      <alignment horizontal="left" vertical="center" wrapText="1" readingOrder="1"/>
    </xf>
    <xf numFmtId="2" fontId="0" fillId="2" borderId="0" xfId="0" applyNumberFormat="1" applyFill="1" applyAlignment="1">
      <alignment horizontal="left" vertical="center" wrapText="1" readingOrder="1"/>
    </xf>
    <xf numFmtId="49" fontId="0" fillId="0" borderId="0" xfId="0" applyNumberFormat="1" applyAlignment="1">
      <alignment horizontal="left" vertical="center" wrapText="1" readingOrder="1"/>
    </xf>
    <xf numFmtId="1" fontId="0" fillId="0" borderId="0" xfId="0" applyNumberFormat="1" applyAlignment="1">
      <alignment horizontal="left" vertical="center" wrapText="1" readingOrder="1"/>
    </xf>
    <xf numFmtId="2" fontId="0" fillId="0" borderId="0" xfId="0" applyNumberFormat="1" applyAlignment="1">
      <alignment horizontal="left" vertical="top" wrapText="1" readingOrder="1"/>
    </xf>
  </cellXfs>
  <cellStyles count="1">
    <cellStyle name="Normal" xfId="0" builtinId="0" customBuiltin="1"/>
  </cellStyles>
  <dxfs count="68">
    <dxf>
      <numFmt numFmtId="2" formatCode="0.00"/>
      <fill>
        <patternFill>
          <fgColor indexed="64"/>
          <bgColor rgb="FFFFFF00"/>
        </patternFill>
      </fill>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30" formatCode="@"/>
      <alignment horizontal="left" vertical="center" textRotation="0" wrapText="1" indent="0" justifyLastLine="0" shrinkToFit="0" readingOrder="1"/>
    </dxf>
    <dxf>
      <numFmt numFmtId="30" formatCode="@"/>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30" formatCode="@"/>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30" formatCode="@"/>
      <alignment horizontal="left" vertical="center" textRotation="0" wrapText="1" indent="0" justifyLastLine="0" shrinkToFit="0" readingOrder="1"/>
    </dxf>
    <dxf>
      <numFmt numFmtId="30" formatCode="@"/>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alignment horizontal="left" vertical="center" textRotation="0" wrapText="1" indent="0" justifyLastLine="0" shrinkToFit="0" readingOrder="1"/>
    </dxf>
    <dxf>
      <alignment horizontal="left" vertical="center" textRotation="0" wrapText="1" indent="0" justifyLastLine="0" shrinkToFit="0" readingOrder="1"/>
    </dxf>
    <dxf>
      <numFmt numFmtId="1" formatCode="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numFmt numFmtId="2" formatCode="0.00"/>
      <alignment horizontal="left" vertical="center" textRotation="0" wrapText="1" indent="0" justifyLastLine="0" shrinkToFit="0" readingOrder="1"/>
    </dxf>
    <dxf>
      <alignment horizontal="left" vertical="center" textRotation="0" wrapText="1" indent="0" justifyLastLine="0" shrinkToFit="0" readingOrder="1"/>
    </dxf>
    <dxf>
      <numFmt numFmtId="1" formatCode="0"/>
      <alignment horizontal="left" vertical="center" textRotation="0" wrapText="1" indent="0" justifyLastLine="0" shrinkToFit="0" readingOrder="1"/>
    </dxf>
    <dxf>
      <alignment horizontal="left" vertical="center" textRotation="0" wrapText="1" indent="0" justifyLastLine="0" shrinkToFit="0" readingOrder="1"/>
    </dxf>
    <dxf>
      <alignment horizontal="left" vertical="center" textRotation="0" wrapText="1" indent="0" justifyLastLine="0" shrinkToFit="0" readingOrder="1"/>
    </dxf>
    <dxf>
      <alignment horizontal="left" vertical="center" textRotation="0" wrapText="1" indent="0" justifyLastLine="0" shrinkToFit="0" readingOrder="1"/>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CD268-C304-44DA-9400-929A238CD6B4}" name="Table1" displayName="Table1" ref="A1:AM71" totalsRowShown="0" headerRowDxfId="67" dataDxfId="66">
  <autoFilter ref="A1:AM71" xr:uid="{A16CD268-C304-44DA-9400-929A238CD6B4}"/>
  <tableColumns count="39">
    <tableColumn id="1" xr3:uid="{81730632-8C1E-4857-811A-F6EB257CBCA9}" name="Study" dataDxfId="65"/>
    <tableColumn id="2" xr3:uid="{6E271962-E46F-4025-BED3-988EAE425853}" name="Include? (Y/N)" dataDxfId="64"/>
    <tableColumn id="3" xr3:uid="{0EF3E31E-1BBF-4172-B255-B8DA09E9ED88}" name="Year" dataDxfId="63">
      <calculatedColumnFormula>_xlfn.NUMBERVALUE(_xlfn.TEXTAFTER(TRIM(Table1[[#This Row],[Study]]), " ", -1), ",", ".")</calculatedColumnFormula>
    </tableColumn>
    <tableColumn id="47" xr3:uid="{95CD5771-9FF3-4845-AA11-5B181C0841E1}" name="Journal Name" dataDxfId="62"/>
    <tableColumn id="48" xr3:uid="{B57A7AF5-EB4F-495A-916F-A63F5329BF21}" name="Journal eigenvalues" dataDxfId="61"/>
    <tableColumn id="4" xr3:uid="{E592DDD6-9349-45C1-A650-DA9E9B54384F}" name="Sample size" dataDxfId="60"/>
    <tableColumn id="49" xr3:uid="{D9CB36E5-5335-4BAC-81BD-F6C6297EB470}" name="Sample size Comments" dataDxfId="59"/>
    <tableColumn id="52" xr3:uid="{01F4CF56-842D-4566-8FAC-4E2F6E6C3728}" name="response rate (%)" dataDxfId="58"/>
    <tableColumn id="51" xr3:uid="{6B9EFF40-5951-4AF6-9F77-86CCF8CDCDEE}" name="response rate Comments" dataDxfId="57"/>
    <tableColumn id="5" xr3:uid="{2B7B9B19-627E-4B4B-A528-43D81C40CE14}" name="Firm size Categoried" dataDxfId="56"/>
    <tableColumn id="7" xr3:uid="{F30A4CC5-5874-4EBB-8E34-9E23909F8257}" name="Firm size Numerized" dataDxfId="55"/>
    <tableColumn id="34" xr3:uid="{77EFA272-1D23-45B6-8D98-A10841E7B949}" name="Firm size Comment" dataDxfId="54"/>
    <tableColumn id="6" xr3:uid="{3D8A8E6D-555E-4C8A-B27B-DA77A698B8CE}" name="Firm age (Weight. Avg)" dataDxfId="53"/>
    <tableColumn id="35" xr3:uid="{07B45C81-B248-48C5-8AE4-E60EAA98E17B}" name="Firm age Comment" dataDxfId="52"/>
    <tableColumn id="8" xr3:uid="{C64C70EE-0ECD-41F3-B0A5-BA6B12246675}" name="Year of Data Collection" dataDxfId="51"/>
    <tableColumn id="36" xr3:uid="{69AC0111-C5FF-420E-A151-861CD586A245}" name="Year of data collection Comment" dataDxfId="50"/>
    <tableColumn id="9" xr3:uid="{98C04AB9-6377-4988-A3C1-908E2BCCED50}" name="Country" dataDxfId="49"/>
    <tableColumn id="54" xr3:uid="{D1BDD0FB-3F5C-4DB5-BEF7-BD1E9BCA4047}" name="Country comments" dataDxfId="48"/>
    <tableColumn id="10" xr3:uid="{F071EF44-92D8-412B-8791-AC4064B3B72B}" name="Continent)" dataDxfId="47"/>
    <tableColumn id="38" xr3:uid="{5F0D5824-97F4-4C9E-AE66-6E66CD5976F8}" name="Cultural Index [Hofstede]" dataDxfId="46"/>
    <tableColumn id="11" xr3:uid="{CC7DD851-AC0E-4C07-B0BD-5F6F64C74F60}" name="Industry comment" dataDxfId="45"/>
    <tableColumn id="37" xr3:uid="{0D902729-7464-4CF8-9DE2-CC30F8CE9A5B}" name="Industrial Cluster" dataDxfId="44"/>
    <tableColumn id="12" xr3:uid="{7041A5BE-A7FD-41FE-8634-93F3CA15527A}" name="Sample Characteristics Comments" dataDxfId="43"/>
    <tableColumn id="13" xr3:uid="{16EA2CFC-0199-45F1-BDB0-C22F58AFB893}" name="Data source (Primary, Secondary)" dataDxfId="42"/>
    <tableColumn id="39" xr3:uid="{EAB8CF27-822B-4046-96C9-7CD6FF4ACC61}" name="Data Source Comments" dataDxfId="41"/>
    <tableColumn id="15" xr3:uid="{B7FA9695-1BAA-4EB1-809A-D67EA427FA38}" name="Absorptive Capacity (AC) Measure" dataDxfId="40"/>
    <tableColumn id="16" xr3:uid="{6A631A07-8EB2-4298-ACA5-F14A1FCFD181}" name="Absorptive Capacity (AC) # of Items" dataDxfId="39"/>
    <tableColumn id="50" xr3:uid="{DC665221-6A0B-47E7-BC12-B8B25A1E28EE}" name="Absorptive Capacity (AC) Type of Measure" dataDxfId="38"/>
    <tableColumn id="17" xr3:uid="{AA07CBD9-1234-4B5D-8BFB-2BE776B68C94}" name="Absorptive Capacity (AC) (α, CR)" dataDxfId="37"/>
    <tableColumn id="40" xr3:uid="{A8622673-0BB1-46FA-AC56-D597EA977730}" name="Absorptive Capacity (AC) (α, CR) Comments" dataDxfId="36"/>
    <tableColumn id="18" xr3:uid="{B7116A79-FE4E-4303-8724-3BC128C0396B}" name="Perf Measure " dataDxfId="35"/>
    <tableColumn id="23" xr3:uid="{94F41803-6B12-4FB7-89EA-5BA23166A8A2}" name="Perf Type of Measure" dataDxfId="34"/>
    <tableColumn id="19" xr3:uid="{776E12D6-DF49-4D9D-BEAD-4CB5E9AA47D6}" name="Perf Measure # of items" dataDxfId="33"/>
    <tableColumn id="20" xr3:uid="{5FE20A74-4E8D-4AF7-8FA2-A3E423497FD7}" name="Perf (α, CR)" dataDxfId="32"/>
    <tableColumn id="41" xr3:uid="{0525065D-6114-4DCE-B5A7-40E6A32E9644}" name="Perf (α, CR) Comments" dataDxfId="31"/>
    <tableColumn id="21" xr3:uid="{8D6EC84B-7EFF-4593-A359-1EBEA8155650}" name="AC - Perf Coeff. (Corr, ß)" dataDxfId="30"/>
    <tableColumn id="42" xr3:uid="{67021FDD-7D94-4785-B785-87A0C9754D22}" name="AC - Perf Coeff. (Corr, ß) Comments" dataDxfId="29"/>
    <tableColumn id="22" xr3:uid="{E9964541-4EA1-4B5D-806C-72A7F9C64B1F}" name="Moderators" dataDxfId="28"/>
    <tableColumn id="33" xr3:uid="{4052793A-F626-449B-9E93-6401678C18CC}" name="Comments" dataDxfId="27"/>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4C9C48-89DF-4B46-A2FC-E8F9E33EB94C}" name="Table2" displayName="Table2" ref="A1:Y40" totalsRowShown="0" headerRowDxfId="26" dataDxfId="25">
  <autoFilter ref="A1:Y40" xr:uid="{664C9C48-89DF-4B46-A2FC-E8F9E33EB94C}"/>
  <tableColumns count="25">
    <tableColumn id="1" xr3:uid="{183D9173-2753-4EB4-A122-34B1C2B19CEE}" name="Study" dataDxfId="24"/>
    <tableColumn id="3" xr3:uid="{A94746ED-08AE-4021-A390-2C360E8310D0}" name="Year" dataDxfId="23"/>
    <tableColumn id="4" xr3:uid="{EEF09FEE-6451-42E7-AEA9-F2D81D141E4B}" name="Journal Name" dataDxfId="22"/>
    <tableColumn id="5" xr3:uid="{65DE99DA-3271-4AC7-871C-52E066C9F000}" name="Journal eigenvalues" dataDxfId="21"/>
    <tableColumn id="6" xr3:uid="{8EA96944-04FF-4B20-ADDA-C5F04B304BE9}" name="Sample size" dataDxfId="20"/>
    <tableColumn id="8" xr3:uid="{3BD09F38-B5FA-4042-A99F-FCDE169B10A3}" name="response rate (%)" dataDxfId="19"/>
    <tableColumn id="10" xr3:uid="{0F6DB528-EF3C-43DE-A135-755E72E83B4E}" name="Firm size Categoried" dataDxfId="18"/>
    <tableColumn id="11" xr3:uid="{6023711A-9C56-4A9A-938B-65CAA22226DE}" name="Firm size Numerized" dataDxfId="17"/>
    <tableColumn id="13" xr3:uid="{1F825639-EB9F-4813-B73A-63D8ED67F92C}" name="Firm age (Weight. Avg)" dataDxfId="16"/>
    <tableColumn id="15" xr3:uid="{2CEEA3CB-5DF7-41FD-B7C0-1EA0330DD1C9}" name="Year of Data Collection" dataDxfId="15"/>
    <tableColumn id="17" xr3:uid="{4E25B08E-471C-4017-814B-79C248A07CC2}" name="Country" dataDxfId="14"/>
    <tableColumn id="19" xr3:uid="{96B54000-EDB4-49ED-9036-1D8BCE0ADAA7}" name="Continent)" dataDxfId="13"/>
    <tableColumn id="20" xr3:uid="{A5EB1CCE-8CC2-49BD-87E1-698022DA7506}" name="Motivation Towards Success [Hofstede]" dataDxfId="12"/>
    <tableColumn id="2" xr3:uid="{1F00113B-011B-4536-AB39-8DB4F7758939}" name="Uncertainty Avoidance [Hofstede]" dataDxfId="11"/>
    <tableColumn id="22" xr3:uid="{6BD6DB29-B182-45C6-8655-9D629A176ED0}" name="Industrial Cluster" dataDxfId="10"/>
    <tableColumn id="26" xr3:uid="{9BC84378-0966-4A3A-B091-888F5D40183A}" name="Absorptive Capacity (AC) Measure" dataDxfId="9"/>
    <tableColumn id="27" xr3:uid="{90DB9A76-E3FF-46A5-A5FB-AAAED309A17D}" name="Absorptive Capacity (AC) # of Items" dataDxfId="8"/>
    <tableColumn id="28" xr3:uid="{30E2251A-E8CE-416C-A485-D5DE17102C62}" name="Absorptive Capacity (AC) Type of Measure" dataDxfId="7"/>
    <tableColumn id="29" xr3:uid="{21391F19-7C85-4AC3-8248-AD1B7B211C5E}" name="Absorptive Capacity (AC) (α, CR)" dataDxfId="6"/>
    <tableColumn id="31" xr3:uid="{E39F58FE-5A36-41FA-A4E2-2D873D2FA28B}" name="Perf Measure " dataDxfId="5"/>
    <tableColumn id="32" xr3:uid="{858BB7CA-B084-4E16-B36A-31FAF4E4F208}" name="Perf Type of Measure" dataDxfId="4"/>
    <tableColumn id="33" xr3:uid="{348E71A5-D498-47CA-9A58-03022FEB73E0}" name="Perf Measure # of items" dataDxfId="3"/>
    <tableColumn id="34" xr3:uid="{A6638E21-630A-4B61-8D52-6729BA5DAA61}" name="Perf (α, CR)" dataDxfId="2"/>
    <tableColumn id="36" xr3:uid="{0B45F7F8-6472-499B-BA7D-C3641E339C60}" name="AC - Perf Coeff. (Corr, ß)" dataDxfId="1"/>
    <tableColumn id="7" xr3:uid="{8A7822C5-2619-1D49-B071-51249C9C0676}" name="Adjusted R" dataDxfId="0">
      <calculatedColumnFormula>X2/SQRT(W2*S2)</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71"/>
  <sheetViews>
    <sheetView topLeftCell="A19" zoomScaleNormal="55" workbookViewId="0">
      <selection activeCell="AJ16" sqref="AJ16"/>
    </sheetView>
  </sheetViews>
  <sheetFormatPr defaultColWidth="9.09765625" defaultRowHeight="13" x14ac:dyDescent="0.3"/>
  <cols>
    <col min="1" max="1" width="34.09765625" style="4" customWidth="1"/>
    <col min="2" max="2" width="13.8984375" style="4" customWidth="1"/>
    <col min="3" max="3" width="6.3984375" style="4" customWidth="1"/>
    <col min="4" max="4" width="22.3984375" style="4" customWidth="1"/>
    <col min="5" max="5" width="18.09765625" style="4" customWidth="1"/>
    <col min="6" max="6" width="16.09765625" style="4" customWidth="1"/>
    <col min="7" max="7" width="35.3984375" style="4" customWidth="1"/>
    <col min="8" max="8" width="10.3984375" style="5" customWidth="1"/>
    <col min="9" max="9" width="30.8984375" style="4" customWidth="1"/>
    <col min="10" max="11" width="22.8984375" style="4" customWidth="1"/>
    <col min="12" max="12" width="39.3984375" style="4" customWidth="1"/>
    <col min="13" max="13" width="29.09765625" style="4" customWidth="1"/>
    <col min="14" max="14" width="30.09765625" style="4" customWidth="1"/>
    <col min="15" max="15" width="20.8984375" style="4" customWidth="1"/>
    <col min="16" max="16" width="28.3984375" style="4" customWidth="1"/>
    <col min="17" max="17" width="21.3984375" style="4" customWidth="1"/>
    <col min="18" max="18" width="23.3984375" style="4" customWidth="1"/>
    <col min="19" max="19" width="16.09765625" style="4" customWidth="1"/>
    <col min="20" max="20" width="13.8984375" style="4" customWidth="1"/>
    <col min="21" max="21" width="34.3984375" style="4" customWidth="1"/>
    <col min="22" max="22" width="16.3984375" style="4" customWidth="1"/>
    <col min="23" max="23" width="37.3984375" style="4" customWidth="1"/>
    <col min="24" max="24" width="18.8984375" style="4" customWidth="1"/>
    <col min="25" max="25" width="21.09765625" style="4" customWidth="1"/>
    <col min="26" max="26" width="31.09765625" style="4" customWidth="1"/>
    <col min="27" max="27" width="23.09765625" style="4" customWidth="1"/>
    <col min="28" max="28" width="25.8984375" style="4" customWidth="1"/>
    <col min="29" max="29" width="22.8984375" style="4" customWidth="1"/>
    <col min="30" max="30" width="30.8984375" style="4" customWidth="1"/>
    <col min="31" max="31" width="18.8984375" style="4" customWidth="1"/>
    <col min="32" max="32" width="22.8984375" style="4" customWidth="1"/>
    <col min="33" max="33" width="25.09765625" style="4" customWidth="1"/>
    <col min="34" max="34" width="20.3984375" style="4" customWidth="1"/>
    <col min="35" max="35" width="36.3984375" style="4" customWidth="1"/>
    <col min="36" max="36" width="27.3984375" style="4" customWidth="1"/>
    <col min="37" max="37" width="30.3984375" style="4" customWidth="1"/>
    <col min="38" max="38" width="36.8984375" style="4" customWidth="1"/>
    <col min="39" max="39" width="66.3984375" style="4" customWidth="1"/>
    <col min="40" max="40" width="9.09765625" style="4" customWidth="1"/>
    <col min="41" max="16384" width="9.09765625" style="4"/>
  </cols>
  <sheetData>
    <row r="1" spans="1:39" s="1" customFormat="1" ht="43.5" x14ac:dyDescent="0.3">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3" t="s">
        <v>32</v>
      </c>
      <c r="AH1" s="1" t="s">
        <v>33</v>
      </c>
      <c r="AI1" s="1" t="s">
        <v>34</v>
      </c>
      <c r="AJ1" s="1" t="s">
        <v>35</v>
      </c>
      <c r="AK1" s="1" t="s">
        <v>36</v>
      </c>
      <c r="AL1" s="1" t="s">
        <v>37</v>
      </c>
      <c r="AM1" s="1" t="s">
        <v>38</v>
      </c>
    </row>
    <row r="2" spans="1:39" ht="65" x14ac:dyDescent="0.3">
      <c r="A2" s="4" t="s">
        <v>39</v>
      </c>
      <c r="B2" s="4" t="s">
        <v>40</v>
      </c>
      <c r="C2" s="4">
        <f>_xlfn.NUMBERVALUE(_xlfn.TEXTAFTER(TRIM(Table1[[#This Row],[Study]]), " ", -1), ",", ".")</f>
        <v>2019</v>
      </c>
      <c r="D2" s="4" t="s">
        <v>41</v>
      </c>
      <c r="E2" s="4">
        <v>94</v>
      </c>
      <c r="F2" s="4">
        <v>193</v>
      </c>
      <c r="G2" s="4" t="s">
        <v>42</v>
      </c>
      <c r="H2" s="5">
        <v>40.799999999999997</v>
      </c>
      <c r="I2" s="4" t="s">
        <v>43</v>
      </c>
      <c r="J2" s="4" t="s">
        <v>44</v>
      </c>
      <c r="K2" s="4">
        <v>193</v>
      </c>
      <c r="L2" s="4" t="s">
        <v>45</v>
      </c>
      <c r="M2" s="6"/>
      <c r="O2" s="4">
        <v>2018</v>
      </c>
      <c r="P2" s="4" t="s">
        <v>46</v>
      </c>
      <c r="Q2" s="4" t="s">
        <v>47</v>
      </c>
      <c r="R2" s="4" t="s">
        <v>48</v>
      </c>
      <c r="S2" s="4" t="s">
        <v>49</v>
      </c>
      <c r="U2" s="4" t="s">
        <v>50</v>
      </c>
      <c r="V2" s="4" t="s">
        <v>51</v>
      </c>
      <c r="W2" s="4" t="s">
        <v>52</v>
      </c>
      <c r="X2" s="4" t="s">
        <v>53</v>
      </c>
      <c r="Y2" s="4" t="s">
        <v>54</v>
      </c>
      <c r="Z2" s="4" t="s">
        <v>55</v>
      </c>
      <c r="AA2" s="4">
        <v>7</v>
      </c>
      <c r="AB2" s="4" t="s">
        <v>56</v>
      </c>
      <c r="AC2" s="4">
        <v>0.89</v>
      </c>
      <c r="AD2" s="4" t="s">
        <v>57</v>
      </c>
      <c r="AE2" s="4" t="s">
        <v>58</v>
      </c>
      <c r="AF2" s="4" t="s">
        <v>56</v>
      </c>
      <c r="AG2" s="4">
        <v>4</v>
      </c>
      <c r="AH2" s="4">
        <v>0.85</v>
      </c>
      <c r="AI2" s="4" t="s">
        <v>59</v>
      </c>
      <c r="AJ2" s="4">
        <v>0.34100000000000003</v>
      </c>
      <c r="AK2" s="4" t="s">
        <v>60</v>
      </c>
      <c r="AL2" s="4" t="s">
        <v>61</v>
      </c>
      <c r="AM2" s="4" t="s">
        <v>62</v>
      </c>
    </row>
    <row r="3" spans="1:39" ht="78" x14ac:dyDescent="0.3">
      <c r="A3" s="4" t="s">
        <v>63</v>
      </c>
      <c r="B3" s="4" t="s">
        <v>64</v>
      </c>
      <c r="C3" s="4">
        <f>_xlfn.NUMBERVALUE(_xlfn.TEXTAFTER(TRIM(Table1[[#This Row],[Study]]), " ", -1), ",", ".")</f>
        <v>2013</v>
      </c>
      <c r="D3" s="4" t="s">
        <v>65</v>
      </c>
      <c r="E3" s="4">
        <v>46</v>
      </c>
      <c r="F3" s="4">
        <v>182</v>
      </c>
      <c r="G3" s="4" t="s">
        <v>66</v>
      </c>
      <c r="H3" s="5">
        <v>50</v>
      </c>
      <c r="I3" s="7" t="s">
        <v>67</v>
      </c>
      <c r="J3" s="4" t="s">
        <v>68</v>
      </c>
      <c r="K3" s="4">
        <v>182</v>
      </c>
      <c r="L3" s="4" t="s">
        <v>69</v>
      </c>
      <c r="M3" s="6"/>
      <c r="O3" s="4">
        <v>2004</v>
      </c>
      <c r="P3" s="4" t="s">
        <v>70</v>
      </c>
      <c r="Q3" s="4" t="s">
        <v>71</v>
      </c>
      <c r="R3" s="4" t="s">
        <v>72</v>
      </c>
      <c r="S3" s="4" t="s">
        <v>73</v>
      </c>
      <c r="U3" s="4" t="s">
        <v>74</v>
      </c>
      <c r="V3" s="4" t="s">
        <v>75</v>
      </c>
      <c r="W3" s="4" t="s">
        <v>76</v>
      </c>
      <c r="X3" s="4" t="s">
        <v>77</v>
      </c>
      <c r="Y3" s="4" t="s">
        <v>78</v>
      </c>
      <c r="Z3" s="4" t="s">
        <v>79</v>
      </c>
      <c r="AA3" s="4">
        <v>14</v>
      </c>
      <c r="AB3" s="4" t="s">
        <v>56</v>
      </c>
      <c r="AC3" s="4">
        <v>0.79400000000000004</v>
      </c>
      <c r="AD3" s="4" t="s">
        <v>80</v>
      </c>
      <c r="AE3" s="4" t="s">
        <v>81</v>
      </c>
      <c r="AF3" s="4" t="s">
        <v>56</v>
      </c>
      <c r="AG3" s="4">
        <v>2</v>
      </c>
      <c r="AH3" s="4">
        <v>0.93</v>
      </c>
      <c r="AI3" s="4" t="s">
        <v>82</v>
      </c>
      <c r="AJ3" s="4">
        <v>0.3</v>
      </c>
      <c r="AK3" s="4" t="s">
        <v>83</v>
      </c>
      <c r="AL3" s="6"/>
      <c r="AM3" s="4" t="s">
        <v>84</v>
      </c>
    </row>
    <row r="4" spans="1:39" ht="195" x14ac:dyDescent="0.3">
      <c r="A4" s="4" t="s">
        <v>85</v>
      </c>
      <c r="B4" s="4" t="s">
        <v>64</v>
      </c>
      <c r="C4" s="4">
        <f>_xlfn.NUMBERVALUE(_xlfn.TEXTAFTER(TRIM(Table1[[#This Row],[Study]]), " ", -1), ",", ".")</f>
        <v>2020</v>
      </c>
      <c r="D4" s="4" t="s">
        <v>86</v>
      </c>
      <c r="E4" s="4">
        <v>71</v>
      </c>
      <c r="F4" s="4">
        <v>163</v>
      </c>
      <c r="G4" s="4" t="s">
        <v>87</v>
      </c>
      <c r="H4" s="5">
        <v>57.2</v>
      </c>
      <c r="I4" s="4" t="s">
        <v>88</v>
      </c>
      <c r="J4" s="4" t="s">
        <v>44</v>
      </c>
      <c r="K4" s="4">
        <v>132.88</v>
      </c>
      <c r="L4" s="4" t="s">
        <v>89</v>
      </c>
      <c r="M4" s="4">
        <v>34.1</v>
      </c>
      <c r="N4" s="4" t="s">
        <v>90</v>
      </c>
      <c r="O4" s="4">
        <v>2019</v>
      </c>
      <c r="P4" s="4" t="s">
        <v>91</v>
      </c>
      <c r="Q4" s="4" t="s">
        <v>92</v>
      </c>
      <c r="R4" s="4" t="s">
        <v>93</v>
      </c>
      <c r="S4" s="4" t="s">
        <v>94</v>
      </c>
      <c r="U4" s="4" t="s">
        <v>95</v>
      </c>
      <c r="V4" s="4" t="s">
        <v>51</v>
      </c>
      <c r="W4" s="4" t="s">
        <v>96</v>
      </c>
      <c r="X4" s="4" t="s">
        <v>77</v>
      </c>
      <c r="Y4" s="4" t="s">
        <v>97</v>
      </c>
      <c r="Z4" s="4" t="s">
        <v>98</v>
      </c>
      <c r="AA4" s="4">
        <v>12</v>
      </c>
      <c r="AB4" s="4" t="s">
        <v>99</v>
      </c>
      <c r="AC4" s="4">
        <v>0.71</v>
      </c>
      <c r="AD4" s="4" t="s">
        <v>100</v>
      </c>
      <c r="AE4" s="4" t="s">
        <v>101</v>
      </c>
      <c r="AF4" s="4" t="s">
        <v>56</v>
      </c>
      <c r="AG4" s="4">
        <v>3</v>
      </c>
      <c r="AH4" s="4">
        <v>0.78</v>
      </c>
      <c r="AI4" s="4" t="s">
        <v>102</v>
      </c>
      <c r="AJ4" s="4">
        <v>0.39</v>
      </c>
      <c r="AK4" s="4" t="s">
        <v>103</v>
      </c>
      <c r="AL4" s="4" t="s">
        <v>104</v>
      </c>
      <c r="AM4" s="4" t="s">
        <v>105</v>
      </c>
    </row>
    <row r="5" spans="1:39" ht="78" x14ac:dyDescent="0.3">
      <c r="A5" s="4" t="s">
        <v>106</v>
      </c>
      <c r="B5" s="4" t="s">
        <v>64</v>
      </c>
      <c r="C5" s="4">
        <f>_xlfn.NUMBERVALUE(_xlfn.TEXTAFTER(TRIM(Table1[[#This Row],[Study]]), " ", -1), ",", ".")</f>
        <v>2022</v>
      </c>
      <c r="D5" s="4" t="s">
        <v>107</v>
      </c>
      <c r="E5" s="6"/>
      <c r="F5" s="4">
        <v>366</v>
      </c>
      <c r="G5" s="4" t="s">
        <v>108</v>
      </c>
      <c r="H5" s="9"/>
      <c r="I5" s="4" t="s">
        <v>109</v>
      </c>
      <c r="J5" s="4" t="s">
        <v>44</v>
      </c>
      <c r="K5" s="6"/>
      <c r="L5" s="4" t="s">
        <v>110</v>
      </c>
      <c r="M5" s="4">
        <v>7.6</v>
      </c>
      <c r="N5" s="4" t="s">
        <v>111</v>
      </c>
      <c r="O5" s="4">
        <v>2022</v>
      </c>
      <c r="P5" s="4" t="s">
        <v>112</v>
      </c>
      <c r="Q5" s="4" t="s">
        <v>92</v>
      </c>
      <c r="R5" s="4" t="s">
        <v>113</v>
      </c>
      <c r="S5" s="4" t="s">
        <v>94</v>
      </c>
      <c r="U5" s="4" t="s">
        <v>114</v>
      </c>
      <c r="V5" s="4" t="s">
        <v>51</v>
      </c>
      <c r="W5" s="4" t="s">
        <v>115</v>
      </c>
      <c r="X5" s="4" t="s">
        <v>77</v>
      </c>
      <c r="Y5" s="4" t="s">
        <v>116</v>
      </c>
      <c r="Z5" s="4" t="s">
        <v>117</v>
      </c>
      <c r="AA5" s="4">
        <v>7</v>
      </c>
      <c r="AB5" s="4" t="s">
        <v>56</v>
      </c>
      <c r="AC5" s="4">
        <v>0.79</v>
      </c>
      <c r="AD5" s="4" t="s">
        <v>118</v>
      </c>
      <c r="AE5" s="4" t="s">
        <v>119</v>
      </c>
      <c r="AF5" s="4" t="s">
        <v>56</v>
      </c>
      <c r="AG5" s="4">
        <v>11</v>
      </c>
      <c r="AH5" s="4">
        <v>0.93</v>
      </c>
      <c r="AI5" s="4" t="s">
        <v>120</v>
      </c>
      <c r="AJ5" s="4">
        <v>0.57799999999999996</v>
      </c>
      <c r="AK5" s="4" t="s">
        <v>121</v>
      </c>
      <c r="AL5" s="6"/>
      <c r="AM5" s="4" t="s">
        <v>122</v>
      </c>
    </row>
    <row r="6" spans="1:39" ht="130" x14ac:dyDescent="0.3">
      <c r="A6" s="4" t="s">
        <v>123</v>
      </c>
      <c r="B6" s="4" t="s">
        <v>64</v>
      </c>
      <c r="C6" s="4">
        <f>_xlfn.NUMBERVALUE(_xlfn.TEXTAFTER(TRIM(Table1[[#This Row],[Study]]), " ", -1), ",", ".")</f>
        <v>2016</v>
      </c>
      <c r="D6" s="4" t="s">
        <v>65</v>
      </c>
      <c r="E6" s="4">
        <v>46</v>
      </c>
      <c r="F6" s="4">
        <v>350</v>
      </c>
      <c r="G6" s="4" t="s">
        <v>124</v>
      </c>
      <c r="H6" s="5">
        <v>87.5</v>
      </c>
      <c r="I6" s="4" t="s">
        <v>125</v>
      </c>
      <c r="J6" s="4" t="s">
        <v>126</v>
      </c>
      <c r="K6" s="4">
        <v>10.7</v>
      </c>
      <c r="L6" s="4" t="s">
        <v>127</v>
      </c>
      <c r="M6" s="4">
        <v>10</v>
      </c>
      <c r="N6" s="4" t="s">
        <v>128</v>
      </c>
      <c r="O6" s="4">
        <v>2011</v>
      </c>
      <c r="P6" s="4" t="s">
        <v>129</v>
      </c>
      <c r="Q6" s="4" t="s">
        <v>130</v>
      </c>
      <c r="R6" s="4" t="s">
        <v>131</v>
      </c>
      <c r="S6" s="4" t="s">
        <v>73</v>
      </c>
      <c r="U6" s="4" t="s">
        <v>132</v>
      </c>
      <c r="V6" s="4" t="s">
        <v>133</v>
      </c>
      <c r="W6" s="4" t="s">
        <v>134</v>
      </c>
      <c r="X6" s="4" t="s">
        <v>77</v>
      </c>
      <c r="Y6" s="4" t="s">
        <v>135</v>
      </c>
      <c r="Z6" s="4" t="s">
        <v>136</v>
      </c>
      <c r="AA6" s="4">
        <v>13</v>
      </c>
      <c r="AB6" s="4" t="s">
        <v>56</v>
      </c>
      <c r="AC6" s="4">
        <v>0.88</v>
      </c>
      <c r="AD6" s="4" t="s">
        <v>137</v>
      </c>
      <c r="AE6" s="4" t="s">
        <v>138</v>
      </c>
      <c r="AF6" s="4" t="s">
        <v>99</v>
      </c>
      <c r="AG6" s="4">
        <v>3</v>
      </c>
      <c r="AH6" s="4">
        <v>0.7</v>
      </c>
      <c r="AI6" s="4" t="s">
        <v>139</v>
      </c>
      <c r="AJ6" s="4">
        <v>5.2999999999999999E-2</v>
      </c>
      <c r="AK6" s="4" t="s">
        <v>140</v>
      </c>
      <c r="AL6" s="6"/>
      <c r="AM6" s="4" t="s">
        <v>141</v>
      </c>
    </row>
    <row r="7" spans="1:39" ht="91" x14ac:dyDescent="0.3">
      <c r="A7" s="4" t="s">
        <v>142</v>
      </c>
      <c r="B7" s="4" t="s">
        <v>64</v>
      </c>
      <c r="C7" s="4">
        <f>_xlfn.NUMBERVALUE(_xlfn.TEXTAFTER(TRIM(Table1[[#This Row],[Study]]), " ", -1), ",", ".")</f>
        <v>2008</v>
      </c>
      <c r="D7" s="4" t="s">
        <v>65</v>
      </c>
      <c r="E7" s="4">
        <v>46</v>
      </c>
      <c r="F7" s="4">
        <v>112</v>
      </c>
      <c r="G7" s="4" t="s">
        <v>143</v>
      </c>
      <c r="H7" s="5">
        <v>7.5</v>
      </c>
      <c r="I7" s="4" t="s">
        <v>144</v>
      </c>
      <c r="J7" s="4" t="s">
        <v>44</v>
      </c>
      <c r="K7" s="6"/>
      <c r="L7" s="4" t="s">
        <v>145</v>
      </c>
      <c r="M7" s="6"/>
      <c r="O7" s="4">
        <v>2003</v>
      </c>
      <c r="P7" s="4" t="s">
        <v>146</v>
      </c>
      <c r="Q7" s="4" t="s">
        <v>147</v>
      </c>
      <c r="R7" s="4" t="s">
        <v>148</v>
      </c>
      <c r="S7" s="4" t="s">
        <v>73</v>
      </c>
      <c r="U7" s="4" t="s">
        <v>149</v>
      </c>
      <c r="V7" s="4" t="s">
        <v>75</v>
      </c>
      <c r="W7" s="4" t="s">
        <v>150</v>
      </c>
      <c r="X7" s="4" t="s">
        <v>77</v>
      </c>
      <c r="Z7" s="4" t="s">
        <v>151</v>
      </c>
      <c r="AA7" s="4">
        <v>5</v>
      </c>
      <c r="AB7" s="4" t="s">
        <v>56</v>
      </c>
      <c r="AC7" s="4">
        <v>0.92</v>
      </c>
      <c r="AD7" s="4" t="s">
        <v>152</v>
      </c>
      <c r="AE7" s="4" t="s">
        <v>153</v>
      </c>
      <c r="AF7" s="4" t="s">
        <v>56</v>
      </c>
      <c r="AG7" s="4">
        <v>5</v>
      </c>
      <c r="AH7" s="4">
        <v>0.76500000000000001</v>
      </c>
      <c r="AI7" s="4" t="s">
        <v>154</v>
      </c>
      <c r="AJ7" s="4">
        <v>0.74</v>
      </c>
      <c r="AL7" s="6"/>
      <c r="AM7" s="4" t="s">
        <v>155</v>
      </c>
    </row>
    <row r="8" spans="1:39" ht="91" x14ac:dyDescent="0.3">
      <c r="A8" s="4" t="s">
        <v>156</v>
      </c>
      <c r="B8" s="4" t="s">
        <v>40</v>
      </c>
      <c r="C8" s="4">
        <f>_xlfn.NUMBERVALUE(_xlfn.TEXTAFTER(TRIM(Table1[[#This Row],[Study]]), " ", -1), ",", ".")</f>
        <v>2020</v>
      </c>
      <c r="D8" s="4" t="s">
        <v>157</v>
      </c>
      <c r="E8" s="6"/>
      <c r="F8" s="4">
        <v>357</v>
      </c>
      <c r="H8" s="5">
        <v>71.400000000000006</v>
      </c>
      <c r="J8" s="4" t="s">
        <v>44</v>
      </c>
      <c r="K8" s="4">
        <v>357</v>
      </c>
      <c r="L8" s="4" t="s">
        <v>158</v>
      </c>
      <c r="M8" s="4" t="s">
        <v>159</v>
      </c>
      <c r="O8" s="4">
        <v>2019</v>
      </c>
      <c r="Q8" s="4" t="s">
        <v>160</v>
      </c>
      <c r="S8" s="4" t="s">
        <v>49</v>
      </c>
      <c r="U8" s="4" t="s">
        <v>161</v>
      </c>
      <c r="V8" s="4" t="s">
        <v>51</v>
      </c>
      <c r="W8" s="4" t="s">
        <v>162</v>
      </c>
      <c r="X8" s="4" t="s">
        <v>77</v>
      </c>
      <c r="Z8" s="4" t="s">
        <v>163</v>
      </c>
      <c r="AA8" s="4" t="s">
        <v>164</v>
      </c>
      <c r="AC8" s="4" t="s">
        <v>165</v>
      </c>
      <c r="AE8" s="4" t="s">
        <v>166</v>
      </c>
      <c r="AF8" s="4" t="s">
        <v>167</v>
      </c>
      <c r="AG8" s="4">
        <v>3</v>
      </c>
      <c r="AH8" s="4">
        <v>0.86899999999999999</v>
      </c>
      <c r="AK8" s="4" t="s">
        <v>168</v>
      </c>
      <c r="AM8" s="4" t="s">
        <v>169</v>
      </c>
    </row>
    <row r="9" spans="1:39" ht="26" x14ac:dyDescent="0.3">
      <c r="A9" s="4" t="s">
        <v>170</v>
      </c>
      <c r="B9" s="4" t="s">
        <v>40</v>
      </c>
      <c r="C9" s="4">
        <f>_xlfn.NUMBERVALUE(_xlfn.TEXTAFTER(TRIM(Table1[[#This Row],[Study]]), " ", -1), ",", ".")</f>
        <v>2014</v>
      </c>
      <c r="D9" s="4" t="s">
        <v>171</v>
      </c>
      <c r="E9" s="6"/>
      <c r="F9" s="4">
        <v>60</v>
      </c>
      <c r="H9" s="5">
        <v>86</v>
      </c>
      <c r="I9" s="7"/>
      <c r="J9" s="4" t="s">
        <v>44</v>
      </c>
      <c r="K9" s="4">
        <v>16</v>
      </c>
      <c r="L9" s="4" t="s">
        <v>172</v>
      </c>
      <c r="M9" s="4">
        <v>25</v>
      </c>
      <c r="O9" s="4">
        <v>2005</v>
      </c>
      <c r="Q9" s="4" t="s">
        <v>173</v>
      </c>
      <c r="S9" s="4" t="s">
        <v>73</v>
      </c>
      <c r="U9" s="4" t="s">
        <v>174</v>
      </c>
      <c r="V9" s="4" t="s">
        <v>75</v>
      </c>
      <c r="W9" s="4" t="s">
        <v>175</v>
      </c>
      <c r="X9" s="4" t="s">
        <v>77</v>
      </c>
      <c r="AL9" s="6"/>
      <c r="AM9" s="4" t="s">
        <v>176</v>
      </c>
    </row>
    <row r="10" spans="1:39" ht="78" x14ac:dyDescent="0.3">
      <c r="A10" s="4" t="s">
        <v>177</v>
      </c>
      <c r="B10" s="4" t="s">
        <v>40</v>
      </c>
      <c r="C10" s="4">
        <f>_xlfn.NUMBERVALUE(_xlfn.TEXTAFTER(TRIM(Table1[[#This Row],[Study]]), " ", -1), ",", ".")</f>
        <v>2021</v>
      </c>
      <c r="D10" s="4" t="s">
        <v>178</v>
      </c>
      <c r="E10" s="6"/>
      <c r="F10" s="4">
        <v>74</v>
      </c>
      <c r="H10" s="5">
        <v>65</v>
      </c>
      <c r="I10" s="7"/>
      <c r="J10" s="4" t="s">
        <v>44</v>
      </c>
      <c r="K10" s="4">
        <v>50</v>
      </c>
      <c r="L10" s="8" t="s">
        <v>179</v>
      </c>
      <c r="M10" s="6"/>
      <c r="O10" s="6"/>
      <c r="Q10" s="4" t="s">
        <v>180</v>
      </c>
      <c r="S10" s="4" t="s">
        <v>73</v>
      </c>
      <c r="U10" s="4" t="s">
        <v>181</v>
      </c>
      <c r="V10" s="4" t="s">
        <v>75</v>
      </c>
      <c r="W10" s="4" t="s">
        <v>182</v>
      </c>
      <c r="X10" s="4" t="s">
        <v>77</v>
      </c>
      <c r="Z10" s="4" t="s">
        <v>163</v>
      </c>
      <c r="AA10" s="4">
        <v>21</v>
      </c>
      <c r="AB10" s="4" t="s">
        <v>56</v>
      </c>
      <c r="AC10" s="4">
        <v>0.85</v>
      </c>
      <c r="AD10" s="4" t="s">
        <v>183</v>
      </c>
      <c r="AE10" s="4" t="s">
        <v>184</v>
      </c>
      <c r="AG10" s="4">
        <v>4</v>
      </c>
      <c r="AH10" s="4" t="s">
        <v>185</v>
      </c>
      <c r="AI10" s="4" t="s">
        <v>186</v>
      </c>
      <c r="AJ10" s="4">
        <v>0.755</v>
      </c>
      <c r="AK10" s="4" t="s">
        <v>187</v>
      </c>
      <c r="AM10" s="4" t="s">
        <v>169</v>
      </c>
    </row>
    <row r="11" spans="1:39" ht="52" x14ac:dyDescent="0.3">
      <c r="A11" s="4" t="s">
        <v>188</v>
      </c>
      <c r="B11" s="4" t="s">
        <v>40</v>
      </c>
      <c r="C11" s="4">
        <f>_xlfn.NUMBERVALUE(_xlfn.TEXTAFTER(TRIM(Table1[[#This Row],[Study]]), " ", -1), ",", ".")</f>
        <v>2020</v>
      </c>
      <c r="D11" s="4" t="s">
        <v>189</v>
      </c>
      <c r="E11" s="6"/>
      <c r="F11" s="4">
        <v>213</v>
      </c>
      <c r="H11" s="5">
        <v>45.5</v>
      </c>
      <c r="J11" s="4" t="s">
        <v>44</v>
      </c>
      <c r="K11" s="4">
        <v>213</v>
      </c>
      <c r="L11" s="4" t="s">
        <v>190</v>
      </c>
      <c r="M11" s="6"/>
      <c r="O11" s="4" t="s">
        <v>191</v>
      </c>
      <c r="Q11" s="4" t="s">
        <v>192</v>
      </c>
      <c r="S11" s="4" t="s">
        <v>94</v>
      </c>
      <c r="U11" s="4" t="s">
        <v>193</v>
      </c>
      <c r="V11" s="4" t="s">
        <v>75</v>
      </c>
      <c r="W11" s="4" t="s">
        <v>194</v>
      </c>
      <c r="X11" s="4" t="s">
        <v>77</v>
      </c>
      <c r="Z11" s="4" t="s">
        <v>195</v>
      </c>
      <c r="AA11" s="4">
        <v>6</v>
      </c>
      <c r="AB11" s="4" t="s">
        <v>56</v>
      </c>
      <c r="AC11" s="4">
        <v>0.89300000000000002</v>
      </c>
      <c r="AE11" s="4" t="s">
        <v>196</v>
      </c>
      <c r="AG11" s="4">
        <v>7</v>
      </c>
      <c r="AH11" s="4">
        <v>0.879</v>
      </c>
      <c r="AJ11" s="4">
        <v>0.193</v>
      </c>
      <c r="AK11" s="4" t="s">
        <v>197</v>
      </c>
      <c r="AM11" s="4" t="s">
        <v>198</v>
      </c>
    </row>
    <row r="12" spans="1:39" ht="52" x14ac:dyDescent="0.3">
      <c r="A12" s="4" t="s">
        <v>199</v>
      </c>
      <c r="B12" s="4" t="s">
        <v>64</v>
      </c>
      <c r="C12" s="4">
        <f>_xlfn.NUMBERVALUE(_xlfn.TEXTAFTER(TRIM(Table1[[#This Row],[Study]]), " ", -1), ",", ".")</f>
        <v>2009</v>
      </c>
      <c r="D12" s="4" t="s">
        <v>86</v>
      </c>
      <c r="E12" s="4">
        <v>71</v>
      </c>
      <c r="F12" s="4">
        <v>106</v>
      </c>
      <c r="G12" s="4" t="s">
        <v>200</v>
      </c>
      <c r="H12" s="5">
        <v>21.2</v>
      </c>
      <c r="J12" s="4" t="s">
        <v>44</v>
      </c>
      <c r="K12" s="6"/>
      <c r="M12" s="6"/>
      <c r="O12" s="4">
        <v>6</v>
      </c>
      <c r="P12" s="4" t="s">
        <v>201</v>
      </c>
      <c r="Q12" s="4" t="s">
        <v>202</v>
      </c>
      <c r="S12" s="4" t="s">
        <v>94</v>
      </c>
      <c r="U12" s="4" t="s">
        <v>203</v>
      </c>
      <c r="V12" s="4" t="s">
        <v>75</v>
      </c>
      <c r="W12" s="4" t="s">
        <v>204</v>
      </c>
      <c r="X12" s="4" t="s">
        <v>77</v>
      </c>
      <c r="Z12" s="4" t="s">
        <v>117</v>
      </c>
      <c r="AA12" s="4">
        <v>3</v>
      </c>
      <c r="AB12" s="4" t="s">
        <v>56</v>
      </c>
      <c r="AC12" s="4">
        <v>0.79800000000000004</v>
      </c>
      <c r="AD12" s="4" t="s">
        <v>205</v>
      </c>
      <c r="AE12" s="4" t="s">
        <v>206</v>
      </c>
      <c r="AF12" s="4" t="s">
        <v>56</v>
      </c>
      <c r="AG12" s="4">
        <v>4</v>
      </c>
      <c r="AH12" s="4">
        <v>0.81399999999999995</v>
      </c>
      <c r="AI12" s="4" t="s">
        <v>207</v>
      </c>
      <c r="AJ12" s="4">
        <v>0.51</v>
      </c>
      <c r="AK12" s="4" t="s">
        <v>208</v>
      </c>
      <c r="AL12" s="6"/>
      <c r="AM12" s="4" t="s">
        <v>209</v>
      </c>
    </row>
    <row r="13" spans="1:39" ht="130" x14ac:dyDescent="0.3">
      <c r="A13" s="4" t="s">
        <v>210</v>
      </c>
      <c r="B13" s="4" t="s">
        <v>64</v>
      </c>
      <c r="C13" s="4">
        <f>_xlfn.NUMBERVALUE(_xlfn.TEXTAFTER(TRIM(Table1[[#This Row],[Study]]), " ", -1), ",", ".")</f>
        <v>2015</v>
      </c>
      <c r="D13" s="4" t="s">
        <v>211</v>
      </c>
      <c r="E13" s="6"/>
      <c r="F13" s="4">
        <v>311</v>
      </c>
      <c r="G13" s="4" t="s">
        <v>212</v>
      </c>
      <c r="H13" s="9"/>
      <c r="I13" s="4" t="s">
        <v>213</v>
      </c>
      <c r="J13" s="4" t="s">
        <v>126</v>
      </c>
      <c r="K13" s="4">
        <v>14.2</v>
      </c>
      <c r="L13" s="4" t="s">
        <v>214</v>
      </c>
      <c r="M13" s="4" t="s">
        <v>215</v>
      </c>
      <c r="O13" s="4">
        <v>2007</v>
      </c>
      <c r="P13" s="4" t="s">
        <v>216</v>
      </c>
      <c r="Q13" s="4" t="s">
        <v>217</v>
      </c>
      <c r="S13" s="4" t="s">
        <v>73</v>
      </c>
      <c r="U13" s="4" t="s">
        <v>218</v>
      </c>
      <c r="V13" s="4" t="s">
        <v>51</v>
      </c>
      <c r="W13" s="4" t="s">
        <v>219</v>
      </c>
      <c r="X13" s="4" t="s">
        <v>77</v>
      </c>
      <c r="Z13" s="4" t="s">
        <v>220</v>
      </c>
      <c r="AA13" s="4">
        <v>2</v>
      </c>
      <c r="AB13" s="4" t="s">
        <v>99</v>
      </c>
      <c r="AC13" s="4">
        <v>0.77</v>
      </c>
      <c r="AD13" s="4" t="s">
        <v>221</v>
      </c>
      <c r="AE13" s="4" t="s">
        <v>222</v>
      </c>
      <c r="AF13" s="4" t="s">
        <v>99</v>
      </c>
      <c r="AG13" s="4">
        <v>1</v>
      </c>
      <c r="AH13" s="6"/>
      <c r="AI13" s="4" t="s">
        <v>223</v>
      </c>
      <c r="AJ13" s="4">
        <v>0.38500000000000001</v>
      </c>
      <c r="AK13" s="4" t="s">
        <v>224</v>
      </c>
      <c r="AL13" s="6"/>
      <c r="AM13" s="4" t="s">
        <v>225</v>
      </c>
    </row>
    <row r="14" spans="1:39" ht="117" x14ac:dyDescent="0.3">
      <c r="A14" s="4" t="s">
        <v>226</v>
      </c>
      <c r="B14" s="4" t="s">
        <v>64</v>
      </c>
      <c r="C14" s="4">
        <f>_xlfn.NUMBERVALUE(_xlfn.TEXTAFTER(TRIM(Table1[[#This Row],[Study]]), " ", -1), ",", ".")</f>
        <v>2023</v>
      </c>
      <c r="D14" s="4" t="s">
        <v>227</v>
      </c>
      <c r="E14" s="4">
        <v>61</v>
      </c>
      <c r="F14" s="4">
        <v>189</v>
      </c>
      <c r="G14" s="4" t="s">
        <v>228</v>
      </c>
      <c r="H14" s="5">
        <v>18.899999999999999</v>
      </c>
      <c r="I14" s="4" t="s">
        <v>229</v>
      </c>
      <c r="J14" s="4" t="s">
        <v>44</v>
      </c>
      <c r="K14" s="4">
        <v>222.96799999999999</v>
      </c>
      <c r="L14" s="4" t="s">
        <v>230</v>
      </c>
      <c r="M14" s="10" t="s">
        <v>231</v>
      </c>
      <c r="N14" s="10" t="s">
        <v>232</v>
      </c>
      <c r="O14" s="10" t="s">
        <v>233</v>
      </c>
      <c r="P14" s="10" t="s">
        <v>234</v>
      </c>
      <c r="Q14" s="4" t="s">
        <v>235</v>
      </c>
      <c r="R14" s="4" t="s">
        <v>236</v>
      </c>
      <c r="S14" s="4" t="s">
        <v>94</v>
      </c>
      <c r="U14" s="4" t="s">
        <v>237</v>
      </c>
      <c r="V14" s="4" t="s">
        <v>51</v>
      </c>
      <c r="W14" s="4" t="s">
        <v>238</v>
      </c>
      <c r="X14" s="4" t="s">
        <v>77</v>
      </c>
      <c r="Z14" s="4" t="s">
        <v>117</v>
      </c>
      <c r="AA14" s="4">
        <v>6</v>
      </c>
      <c r="AB14" s="4" t="s">
        <v>56</v>
      </c>
      <c r="AC14" s="4">
        <v>0.86299999999999999</v>
      </c>
      <c r="AD14" s="4" t="s">
        <v>239</v>
      </c>
      <c r="AE14" s="4" t="s">
        <v>240</v>
      </c>
      <c r="AF14" s="4" t="s">
        <v>56</v>
      </c>
      <c r="AG14" s="4">
        <v>4</v>
      </c>
      <c r="AH14" s="4">
        <v>0.88100000000000001</v>
      </c>
      <c r="AI14" s="4" t="s">
        <v>241</v>
      </c>
      <c r="AJ14" s="4">
        <v>0.59499999999999997</v>
      </c>
      <c r="AL14" s="6"/>
      <c r="AM14" s="4" t="s">
        <v>242</v>
      </c>
    </row>
    <row r="15" spans="1:39" ht="130" x14ac:dyDescent="0.3">
      <c r="A15" s="4" t="s">
        <v>243</v>
      </c>
      <c r="B15" s="4" t="s">
        <v>64</v>
      </c>
      <c r="C15" s="4">
        <f>_xlfn.NUMBERVALUE(_xlfn.TEXTAFTER(TRIM(Table1[[#This Row],[Study]]), " ", -1), ",", ".")</f>
        <v>2019</v>
      </c>
      <c r="D15" s="4" t="s">
        <v>227</v>
      </c>
      <c r="E15" s="4">
        <v>61</v>
      </c>
      <c r="F15" s="4">
        <v>88</v>
      </c>
      <c r="G15" s="4" t="s">
        <v>244</v>
      </c>
      <c r="H15" s="5">
        <v>55.3</v>
      </c>
      <c r="I15" s="4" t="s">
        <v>244</v>
      </c>
      <c r="J15" s="4" t="s">
        <v>44</v>
      </c>
      <c r="K15" s="4">
        <v>155</v>
      </c>
      <c r="L15" s="4" t="s">
        <v>245</v>
      </c>
      <c r="M15" s="6"/>
      <c r="N15" s="6"/>
      <c r="O15" s="4">
        <v>2017</v>
      </c>
      <c r="P15" s="4" t="s">
        <v>246</v>
      </c>
      <c r="Q15" s="4" t="s">
        <v>217</v>
      </c>
      <c r="R15" s="4" t="s">
        <v>247</v>
      </c>
      <c r="S15" s="4" t="s">
        <v>73</v>
      </c>
      <c r="U15" s="4" t="s">
        <v>248</v>
      </c>
      <c r="V15" s="4" t="s">
        <v>51</v>
      </c>
      <c r="W15" s="4" t="s">
        <v>249</v>
      </c>
      <c r="X15" s="4" t="s">
        <v>77</v>
      </c>
      <c r="Z15" s="8" t="s">
        <v>250</v>
      </c>
      <c r="AA15" s="4">
        <v>6</v>
      </c>
      <c r="AB15" s="4" t="s">
        <v>56</v>
      </c>
      <c r="AC15" s="4">
        <v>0.89</v>
      </c>
      <c r="AD15" s="4" t="s">
        <v>251</v>
      </c>
      <c r="AE15" s="4" t="s">
        <v>222</v>
      </c>
      <c r="AF15" s="4" t="s">
        <v>56</v>
      </c>
      <c r="AG15" s="4">
        <v>4</v>
      </c>
      <c r="AH15" s="4">
        <v>0.81</v>
      </c>
      <c r="AI15" s="4" t="s">
        <v>252</v>
      </c>
      <c r="AJ15" s="4">
        <v>0.35199999999999998</v>
      </c>
      <c r="AK15" s="16"/>
      <c r="AL15" s="6"/>
      <c r="AM15" s="4" t="s">
        <v>253</v>
      </c>
    </row>
    <row r="16" spans="1:39" ht="91" x14ac:dyDescent="0.3">
      <c r="A16" s="4" t="s">
        <v>254</v>
      </c>
      <c r="B16" s="4" t="s">
        <v>64</v>
      </c>
      <c r="C16" s="4">
        <v>2019</v>
      </c>
      <c r="D16" s="4" t="s">
        <v>255</v>
      </c>
      <c r="E16" s="4">
        <v>38</v>
      </c>
      <c r="F16" s="4">
        <v>222</v>
      </c>
      <c r="G16" s="4" t="s">
        <v>256</v>
      </c>
      <c r="H16" s="5">
        <v>88.8</v>
      </c>
      <c r="I16" s="4" t="s">
        <v>257</v>
      </c>
      <c r="J16" s="4" t="s">
        <v>44</v>
      </c>
      <c r="K16" s="4">
        <v>52.7</v>
      </c>
      <c r="L16" s="4" t="s">
        <v>258</v>
      </c>
      <c r="M16" s="6"/>
      <c r="N16" s="4" t="s">
        <v>259</v>
      </c>
      <c r="O16" s="4">
        <v>2012</v>
      </c>
      <c r="P16" s="4" t="s">
        <v>260</v>
      </c>
      <c r="Q16" s="4" t="s">
        <v>147</v>
      </c>
      <c r="R16" s="4" t="s">
        <v>261</v>
      </c>
      <c r="S16" s="4" t="s">
        <v>73</v>
      </c>
      <c r="U16" s="4" t="s">
        <v>262</v>
      </c>
      <c r="V16" s="4" t="s">
        <v>75</v>
      </c>
      <c r="W16" s="4" t="s">
        <v>263</v>
      </c>
      <c r="X16" s="4" t="s">
        <v>77</v>
      </c>
      <c r="Y16" s="4" t="s">
        <v>264</v>
      </c>
      <c r="Z16" s="4" t="s">
        <v>117</v>
      </c>
      <c r="AA16" s="4">
        <v>3</v>
      </c>
      <c r="AB16" s="4" t="s">
        <v>56</v>
      </c>
      <c r="AC16" s="4">
        <v>0.86</v>
      </c>
      <c r="AD16" s="4" t="s">
        <v>265</v>
      </c>
      <c r="AE16" s="4" t="s">
        <v>266</v>
      </c>
      <c r="AF16" s="4" t="s">
        <v>56</v>
      </c>
      <c r="AG16" s="4">
        <v>3</v>
      </c>
      <c r="AH16" s="4">
        <v>0.87</v>
      </c>
      <c r="AI16" s="4" t="s">
        <v>267</v>
      </c>
      <c r="AJ16" s="4" t="s">
        <v>268</v>
      </c>
      <c r="AK16" s="4" t="s">
        <v>269</v>
      </c>
      <c r="AL16" s="4" t="s">
        <v>270</v>
      </c>
      <c r="AM16" s="4" t="s">
        <v>271</v>
      </c>
    </row>
    <row r="17" spans="1:39" ht="195" x14ac:dyDescent="0.3">
      <c r="A17" s="4" t="s">
        <v>272</v>
      </c>
      <c r="B17" s="4" t="s">
        <v>64</v>
      </c>
      <c r="C17" s="4">
        <v>2011</v>
      </c>
      <c r="D17" s="4" t="s">
        <v>273</v>
      </c>
      <c r="E17" s="4">
        <v>25</v>
      </c>
      <c r="F17" s="4">
        <v>345</v>
      </c>
      <c r="G17" s="4" t="s">
        <v>274</v>
      </c>
      <c r="H17" s="5">
        <v>10.1</v>
      </c>
      <c r="I17" s="4" t="s">
        <v>275</v>
      </c>
      <c r="J17" s="4" t="s">
        <v>126</v>
      </c>
      <c r="K17" s="4">
        <v>26</v>
      </c>
      <c r="L17" s="4" t="s">
        <v>276</v>
      </c>
      <c r="M17" s="4">
        <v>11</v>
      </c>
      <c r="N17" s="4" t="s">
        <v>277</v>
      </c>
      <c r="O17" s="4">
        <v>2008</v>
      </c>
      <c r="P17" s="4" t="s">
        <v>278</v>
      </c>
      <c r="Q17" s="4" t="s">
        <v>279</v>
      </c>
      <c r="R17" s="4" t="s">
        <v>280</v>
      </c>
      <c r="S17" s="4" t="s">
        <v>73</v>
      </c>
      <c r="U17" s="4" t="s">
        <v>281</v>
      </c>
      <c r="V17" s="4" t="s">
        <v>51</v>
      </c>
      <c r="W17" s="4" t="s">
        <v>282</v>
      </c>
      <c r="X17" s="4" t="s">
        <v>283</v>
      </c>
      <c r="Y17" s="4" t="s">
        <v>284</v>
      </c>
      <c r="Z17" s="4" t="s">
        <v>117</v>
      </c>
      <c r="AA17" s="4">
        <v>14</v>
      </c>
      <c r="AB17" s="4" t="s">
        <v>56</v>
      </c>
      <c r="AC17" s="4">
        <v>0.8</v>
      </c>
      <c r="AD17" s="4" t="s">
        <v>285</v>
      </c>
      <c r="AE17" s="4" t="s">
        <v>81</v>
      </c>
      <c r="AF17" s="4" t="s">
        <v>56</v>
      </c>
      <c r="AG17" s="4">
        <v>5</v>
      </c>
      <c r="AH17" s="4">
        <v>0.9</v>
      </c>
      <c r="AI17" s="4" t="s">
        <v>286</v>
      </c>
      <c r="AJ17" s="4">
        <v>0.52</v>
      </c>
      <c r="AK17" s="4" t="s">
        <v>287</v>
      </c>
      <c r="AL17" s="4" t="s">
        <v>288</v>
      </c>
      <c r="AM17" s="4" t="s">
        <v>289</v>
      </c>
    </row>
    <row r="18" spans="1:39" ht="65" x14ac:dyDescent="0.3">
      <c r="A18" s="4" t="s">
        <v>290</v>
      </c>
      <c r="B18" s="4" t="s">
        <v>40</v>
      </c>
      <c r="C18" s="4">
        <f>_xlfn.NUMBERVALUE(_xlfn.TEXTAFTER(TRIM(Table1[[#This Row],[Study]]), " ", -1), ",", ".")</f>
        <v>2022</v>
      </c>
      <c r="D18" s="4" t="s">
        <v>291</v>
      </c>
      <c r="E18" s="4">
        <v>27</v>
      </c>
      <c r="F18" s="4">
        <v>503</v>
      </c>
      <c r="H18" s="5">
        <v>77.400000000000006</v>
      </c>
      <c r="I18" s="4" t="s">
        <v>292</v>
      </c>
      <c r="J18" s="4" t="s">
        <v>44</v>
      </c>
      <c r="K18" s="6"/>
      <c r="Q18" s="4" t="s">
        <v>293</v>
      </c>
      <c r="S18" s="4" t="s">
        <v>49</v>
      </c>
      <c r="U18" s="4" t="s">
        <v>294</v>
      </c>
      <c r="V18" s="4" t="s">
        <v>75</v>
      </c>
      <c r="W18" s="4" t="s">
        <v>295</v>
      </c>
      <c r="X18" s="4" t="s">
        <v>53</v>
      </c>
      <c r="Y18" s="4" t="s">
        <v>296</v>
      </c>
      <c r="Z18" s="4" t="s">
        <v>297</v>
      </c>
      <c r="AA18" s="4">
        <v>6</v>
      </c>
      <c r="AB18" s="4" t="s">
        <v>56</v>
      </c>
      <c r="AC18" s="4">
        <v>0.87</v>
      </c>
      <c r="AD18" s="4" t="s">
        <v>298</v>
      </c>
      <c r="AE18" s="4" t="s">
        <v>184</v>
      </c>
      <c r="AF18" s="4" t="s">
        <v>299</v>
      </c>
      <c r="AG18" s="4">
        <v>5</v>
      </c>
      <c r="AH18" s="4">
        <v>0.86</v>
      </c>
      <c r="AI18" s="4" t="s">
        <v>300</v>
      </c>
      <c r="AJ18" s="4">
        <v>0.443</v>
      </c>
      <c r="AK18" s="4" t="s">
        <v>301</v>
      </c>
      <c r="AL18" s="6"/>
      <c r="AM18" s="4" t="s">
        <v>302</v>
      </c>
    </row>
    <row r="19" spans="1:39" ht="52" x14ac:dyDescent="0.3">
      <c r="A19" s="4" t="s">
        <v>303</v>
      </c>
      <c r="B19" s="4" t="s">
        <v>40</v>
      </c>
      <c r="C19" s="4">
        <v>2021</v>
      </c>
      <c r="D19" s="4" t="s">
        <v>304</v>
      </c>
      <c r="E19" s="6"/>
      <c r="F19" s="4">
        <v>171</v>
      </c>
      <c r="G19" s="4" t="s">
        <v>305</v>
      </c>
      <c r="H19" s="5">
        <v>44.5</v>
      </c>
      <c r="I19" s="11" t="s">
        <v>306</v>
      </c>
      <c r="J19" s="4" t="s">
        <v>126</v>
      </c>
      <c r="K19" s="6"/>
      <c r="L19" s="4" t="s">
        <v>307</v>
      </c>
      <c r="M19" s="6"/>
      <c r="N19" s="6"/>
      <c r="O19" s="4">
        <v>2016</v>
      </c>
      <c r="P19" s="4" t="s">
        <v>308</v>
      </c>
      <c r="Q19" s="4" t="s">
        <v>309</v>
      </c>
      <c r="S19" s="4" t="s">
        <v>94</v>
      </c>
      <c r="U19" s="4" t="s">
        <v>310</v>
      </c>
      <c r="W19" s="4" t="s">
        <v>311</v>
      </c>
      <c r="X19" s="4" t="s">
        <v>53</v>
      </c>
      <c r="Z19" s="4" t="s">
        <v>312</v>
      </c>
      <c r="AA19" s="4">
        <v>12</v>
      </c>
      <c r="AB19" s="4" t="s">
        <v>56</v>
      </c>
      <c r="AC19" s="4">
        <v>0.93500000000000005</v>
      </c>
      <c r="AD19" s="4" t="s">
        <v>313</v>
      </c>
      <c r="AE19" s="4" t="s">
        <v>314</v>
      </c>
      <c r="AF19" s="4" t="s">
        <v>299</v>
      </c>
      <c r="AG19" s="4">
        <v>6</v>
      </c>
      <c r="AH19" s="4">
        <v>0.91</v>
      </c>
      <c r="AI19" s="4" t="s">
        <v>315</v>
      </c>
      <c r="AJ19" s="4">
        <v>0.185</v>
      </c>
      <c r="AK19" s="4" t="s">
        <v>316</v>
      </c>
      <c r="AL19" s="4" t="s">
        <v>317</v>
      </c>
      <c r="AM19" s="4" t="s">
        <v>302</v>
      </c>
    </row>
    <row r="20" spans="1:39" ht="52" x14ac:dyDescent="0.3">
      <c r="A20" s="4" t="s">
        <v>318</v>
      </c>
      <c r="B20" s="4" t="s">
        <v>40</v>
      </c>
      <c r="C20" s="4">
        <v>2016</v>
      </c>
      <c r="D20" s="4" t="s">
        <v>319</v>
      </c>
      <c r="E20" s="4">
        <v>11</v>
      </c>
      <c r="F20" s="6"/>
      <c r="G20" s="6"/>
      <c r="H20" s="9"/>
      <c r="I20" s="6"/>
      <c r="J20" s="6"/>
      <c r="K20" s="6"/>
      <c r="L20" s="6"/>
      <c r="M20" s="6"/>
      <c r="N20" s="6"/>
      <c r="X20" s="4" t="s">
        <v>283</v>
      </c>
      <c r="Y20" s="4" t="s">
        <v>320</v>
      </c>
      <c r="AM20" s="4" t="s">
        <v>321</v>
      </c>
    </row>
    <row r="21" spans="1:39" ht="78" x14ac:dyDescent="0.3">
      <c r="A21" s="4" t="s">
        <v>322</v>
      </c>
      <c r="B21" s="4" t="s">
        <v>40</v>
      </c>
      <c r="C21" s="4">
        <v>2006</v>
      </c>
      <c r="D21" s="4" t="s">
        <v>323</v>
      </c>
      <c r="E21" s="6"/>
      <c r="F21" s="4">
        <v>2223</v>
      </c>
      <c r="G21" s="4" t="s">
        <v>324</v>
      </c>
      <c r="H21" s="9"/>
      <c r="I21" s="4" t="s">
        <v>325</v>
      </c>
      <c r="J21" s="4" t="s">
        <v>44</v>
      </c>
      <c r="K21" s="6"/>
      <c r="L21" s="4" t="s">
        <v>326</v>
      </c>
      <c r="M21" s="6"/>
      <c r="N21" s="6"/>
      <c r="O21" s="6"/>
      <c r="P21" s="4" t="s">
        <v>327</v>
      </c>
      <c r="Q21" s="4" t="s">
        <v>328</v>
      </c>
      <c r="S21" s="4" t="s">
        <v>73</v>
      </c>
      <c r="U21" s="4" t="s">
        <v>329</v>
      </c>
      <c r="X21" s="4" t="s">
        <v>77</v>
      </c>
      <c r="Y21" s="4" t="s">
        <v>330</v>
      </c>
      <c r="Z21" s="4" t="s">
        <v>331</v>
      </c>
      <c r="AE21" s="4" t="s">
        <v>332</v>
      </c>
      <c r="AF21" s="4" t="s">
        <v>299</v>
      </c>
      <c r="AG21" s="4" t="s">
        <v>333</v>
      </c>
      <c r="AL21" s="6"/>
      <c r="AM21" s="4" t="s">
        <v>334</v>
      </c>
    </row>
    <row r="22" spans="1:39" ht="78" x14ac:dyDescent="0.3">
      <c r="A22" s="4" t="s">
        <v>335</v>
      </c>
      <c r="B22" s="4" t="s">
        <v>64</v>
      </c>
      <c r="C22" s="4">
        <v>2021</v>
      </c>
      <c r="D22" s="4" t="s">
        <v>65</v>
      </c>
      <c r="E22" s="4">
        <v>46</v>
      </c>
      <c r="F22" s="4">
        <v>509</v>
      </c>
      <c r="G22" s="4" t="s">
        <v>336</v>
      </c>
      <c r="H22" s="5">
        <v>11.54</v>
      </c>
      <c r="I22" s="4" t="s">
        <v>337</v>
      </c>
      <c r="J22" s="4" t="s">
        <v>44</v>
      </c>
      <c r="K22" s="6"/>
      <c r="L22" s="4" t="s">
        <v>338</v>
      </c>
      <c r="M22" s="4">
        <v>21.99</v>
      </c>
      <c r="N22" s="4" t="s">
        <v>339</v>
      </c>
      <c r="O22" s="4">
        <v>2015</v>
      </c>
      <c r="P22" s="4" t="s">
        <v>340</v>
      </c>
      <c r="Q22" s="4" t="s">
        <v>147</v>
      </c>
      <c r="R22" s="4" t="s">
        <v>341</v>
      </c>
      <c r="S22" s="4" t="s">
        <v>73</v>
      </c>
      <c r="U22" s="4" t="s">
        <v>342</v>
      </c>
      <c r="V22" s="4" t="s">
        <v>75</v>
      </c>
      <c r="W22" s="4" t="s">
        <v>343</v>
      </c>
      <c r="X22" s="4" t="s">
        <v>77</v>
      </c>
      <c r="Y22" s="4" t="s">
        <v>344</v>
      </c>
      <c r="Z22" s="15" t="s">
        <v>345</v>
      </c>
      <c r="AA22" s="4">
        <v>5</v>
      </c>
      <c r="AB22" s="4" t="s">
        <v>346</v>
      </c>
      <c r="AC22" s="4">
        <v>0.91600000000000004</v>
      </c>
      <c r="AD22" s="4" t="s">
        <v>347</v>
      </c>
      <c r="AE22" s="4" t="s">
        <v>348</v>
      </c>
      <c r="AF22" s="4" t="s">
        <v>56</v>
      </c>
      <c r="AG22" s="4">
        <v>8</v>
      </c>
      <c r="AH22" s="4">
        <v>0.84199999999999997</v>
      </c>
      <c r="AI22" s="4" t="s">
        <v>349</v>
      </c>
      <c r="AJ22" s="4">
        <v>0.47799999999999998</v>
      </c>
      <c r="AK22" s="4" t="s">
        <v>350</v>
      </c>
      <c r="AL22" s="4" t="s">
        <v>351</v>
      </c>
      <c r="AM22" s="4" t="s">
        <v>352</v>
      </c>
    </row>
    <row r="23" spans="1:39" ht="91" x14ac:dyDescent="0.3">
      <c r="A23" s="4" t="s">
        <v>353</v>
      </c>
      <c r="B23" s="4" t="s">
        <v>64</v>
      </c>
      <c r="C23" s="4">
        <v>2014</v>
      </c>
      <c r="D23" s="4" t="s">
        <v>354</v>
      </c>
      <c r="E23" s="4">
        <v>30</v>
      </c>
      <c r="F23" s="4">
        <v>286</v>
      </c>
      <c r="G23" s="4" t="s">
        <v>355</v>
      </c>
      <c r="H23" s="5">
        <v>35.9</v>
      </c>
      <c r="I23" s="4" t="s">
        <v>356</v>
      </c>
      <c r="J23" s="4" t="s">
        <v>44</v>
      </c>
      <c r="K23" s="6"/>
      <c r="L23" s="4" t="s">
        <v>357</v>
      </c>
      <c r="M23" s="6"/>
      <c r="N23" s="4" t="s">
        <v>358</v>
      </c>
      <c r="O23" s="4">
        <v>2012</v>
      </c>
      <c r="P23" s="4" t="s">
        <v>112</v>
      </c>
      <c r="Q23" s="4" t="s">
        <v>192</v>
      </c>
      <c r="S23" s="4" t="s">
        <v>94</v>
      </c>
      <c r="U23" s="4" t="s">
        <v>359</v>
      </c>
      <c r="V23" s="4" t="s">
        <v>51</v>
      </c>
      <c r="W23" s="4" t="s">
        <v>360</v>
      </c>
      <c r="X23" s="4" t="s">
        <v>53</v>
      </c>
      <c r="Z23" s="4" t="s">
        <v>79</v>
      </c>
      <c r="AA23" s="4">
        <v>16</v>
      </c>
      <c r="AB23" s="4" t="s">
        <v>56</v>
      </c>
      <c r="AC23" s="4">
        <v>0.78</v>
      </c>
      <c r="AD23" s="4" t="s">
        <v>361</v>
      </c>
      <c r="AF23" s="4" t="s">
        <v>299</v>
      </c>
      <c r="AG23" s="4">
        <v>5</v>
      </c>
      <c r="AH23" s="4">
        <v>0.89</v>
      </c>
      <c r="AI23" s="4" t="s">
        <v>362</v>
      </c>
      <c r="AJ23" s="4">
        <v>0.41599999999999998</v>
      </c>
      <c r="AK23" s="4" t="s">
        <v>363</v>
      </c>
      <c r="AL23" s="6"/>
      <c r="AM23" s="4" t="s">
        <v>364</v>
      </c>
    </row>
    <row r="24" spans="1:39" ht="78" x14ac:dyDescent="0.3">
      <c r="A24" s="4" t="s">
        <v>365</v>
      </c>
      <c r="B24" s="4" t="s">
        <v>64</v>
      </c>
      <c r="C24" s="4">
        <f>_xlfn.NUMBERVALUE(_xlfn.TEXTAFTER(TRIM(Table1[[#This Row],[Study]]), " ", -1), ",", ".")</f>
        <v>2020</v>
      </c>
      <c r="D24" s="4" t="s">
        <v>366</v>
      </c>
      <c r="E24" s="6"/>
      <c r="F24" s="4">
        <v>214</v>
      </c>
      <c r="H24" s="5">
        <v>21.4</v>
      </c>
      <c r="I24" s="11" t="s">
        <v>367</v>
      </c>
      <c r="J24" s="4" t="s">
        <v>44</v>
      </c>
      <c r="K24" s="6"/>
      <c r="L24" s="4" t="s">
        <v>368</v>
      </c>
      <c r="M24" s="6"/>
      <c r="N24" s="4" t="s">
        <v>358</v>
      </c>
      <c r="O24" s="4">
        <v>2018</v>
      </c>
      <c r="P24" s="4" t="s">
        <v>112</v>
      </c>
      <c r="Q24" s="4" t="s">
        <v>192</v>
      </c>
      <c r="S24" s="4" t="s">
        <v>94</v>
      </c>
      <c r="U24" s="4" t="s">
        <v>369</v>
      </c>
      <c r="V24" s="4" t="s">
        <v>75</v>
      </c>
      <c r="W24" s="4" t="s">
        <v>370</v>
      </c>
      <c r="X24" s="4" t="s">
        <v>77</v>
      </c>
      <c r="Z24" s="4" t="s">
        <v>79</v>
      </c>
      <c r="AA24" s="4">
        <v>15</v>
      </c>
      <c r="AB24" s="4" t="s">
        <v>56</v>
      </c>
      <c r="AC24" s="4">
        <v>0.89700000000000002</v>
      </c>
      <c r="AD24" s="4" t="s">
        <v>371</v>
      </c>
      <c r="AE24" s="4" t="s">
        <v>348</v>
      </c>
      <c r="AF24" s="4" t="s">
        <v>99</v>
      </c>
      <c r="AG24" s="4">
        <v>10</v>
      </c>
      <c r="AH24" s="4">
        <v>0.89700000000000002</v>
      </c>
      <c r="AI24" s="4" t="s">
        <v>372</v>
      </c>
      <c r="AJ24" s="4">
        <v>0.30499999999999999</v>
      </c>
      <c r="AK24" s="4" t="s">
        <v>373</v>
      </c>
      <c r="AL24" s="6"/>
      <c r="AM24" s="4" t="s">
        <v>374</v>
      </c>
    </row>
    <row r="25" spans="1:39" ht="78" x14ac:dyDescent="0.3">
      <c r="A25" s="4" t="s">
        <v>375</v>
      </c>
      <c r="B25" s="4" t="s">
        <v>64</v>
      </c>
      <c r="C25" s="4">
        <v>2017</v>
      </c>
      <c r="D25" s="4" t="s">
        <v>376</v>
      </c>
      <c r="E25" s="6"/>
      <c r="F25" s="4">
        <v>111</v>
      </c>
      <c r="G25" s="4" t="s">
        <v>377</v>
      </c>
      <c r="H25" s="5">
        <v>74</v>
      </c>
      <c r="I25" s="4" t="s">
        <v>378</v>
      </c>
      <c r="J25" s="4" t="s">
        <v>44</v>
      </c>
      <c r="K25" s="6"/>
      <c r="L25" s="4" t="s">
        <v>379</v>
      </c>
      <c r="M25" s="6"/>
      <c r="N25" s="4" t="s">
        <v>380</v>
      </c>
      <c r="O25" s="4">
        <v>2015</v>
      </c>
      <c r="P25" s="4" t="s">
        <v>112</v>
      </c>
      <c r="Q25" s="4" t="s">
        <v>192</v>
      </c>
      <c r="R25" s="4" t="s">
        <v>381</v>
      </c>
      <c r="S25" s="4" t="s">
        <v>94</v>
      </c>
      <c r="U25" s="4" t="s">
        <v>382</v>
      </c>
      <c r="V25" s="4" t="s">
        <v>75</v>
      </c>
      <c r="W25" s="4" t="s">
        <v>383</v>
      </c>
      <c r="X25" s="4" t="s">
        <v>77</v>
      </c>
      <c r="Z25" s="4" t="s">
        <v>117</v>
      </c>
      <c r="AA25" s="4">
        <v>15</v>
      </c>
      <c r="AB25" s="4" t="s">
        <v>56</v>
      </c>
      <c r="AC25" s="4">
        <v>0.83</v>
      </c>
      <c r="AD25" s="4" t="s">
        <v>384</v>
      </c>
      <c r="AE25" s="4" t="s">
        <v>348</v>
      </c>
      <c r="AF25" s="4" t="s">
        <v>56</v>
      </c>
      <c r="AG25" s="4">
        <v>4</v>
      </c>
      <c r="AH25" s="4">
        <v>0.85</v>
      </c>
      <c r="AI25" s="4" t="s">
        <v>385</v>
      </c>
      <c r="AJ25" s="4">
        <v>0.46</v>
      </c>
      <c r="AK25" s="4" t="s">
        <v>386</v>
      </c>
      <c r="AL25" s="4" t="s">
        <v>387</v>
      </c>
      <c r="AM25" s="4" t="s">
        <v>388</v>
      </c>
    </row>
    <row r="26" spans="1:39" ht="91" x14ac:dyDescent="0.3">
      <c r="A26" s="4" t="s">
        <v>389</v>
      </c>
      <c r="B26" s="4" t="s">
        <v>64</v>
      </c>
      <c r="C26" s="4">
        <v>2020</v>
      </c>
      <c r="D26" s="4" t="s">
        <v>390</v>
      </c>
      <c r="E26" s="6"/>
      <c r="F26" s="4">
        <v>165</v>
      </c>
      <c r="G26" s="4" t="s">
        <v>391</v>
      </c>
      <c r="H26" s="5" t="s">
        <v>392</v>
      </c>
      <c r="I26" s="4" t="s">
        <v>393</v>
      </c>
      <c r="J26" s="4" t="s">
        <v>44</v>
      </c>
      <c r="K26" s="6"/>
      <c r="L26" s="4" t="s">
        <v>394</v>
      </c>
      <c r="M26" s="6"/>
      <c r="N26" s="4" t="s">
        <v>395</v>
      </c>
      <c r="O26" s="4">
        <v>2018</v>
      </c>
      <c r="P26" s="4" t="s">
        <v>396</v>
      </c>
      <c r="Q26" s="4" t="s">
        <v>397</v>
      </c>
      <c r="S26" s="4" t="s">
        <v>398</v>
      </c>
      <c r="U26" s="4" t="s">
        <v>399</v>
      </c>
      <c r="V26" s="4" t="s">
        <v>75</v>
      </c>
      <c r="W26" s="4" t="s">
        <v>400</v>
      </c>
      <c r="X26" s="4" t="s">
        <v>77</v>
      </c>
      <c r="Z26" s="4" t="s">
        <v>117</v>
      </c>
      <c r="AA26" s="4">
        <v>9</v>
      </c>
      <c r="AB26" s="4" t="s">
        <v>99</v>
      </c>
      <c r="AC26" s="4">
        <v>0.90100000000000002</v>
      </c>
      <c r="AD26" s="4" t="s">
        <v>401</v>
      </c>
      <c r="AE26" s="4" t="s">
        <v>222</v>
      </c>
      <c r="AF26" s="4" t="s">
        <v>99</v>
      </c>
      <c r="AG26" s="4">
        <v>4</v>
      </c>
      <c r="AH26" s="4">
        <v>0.78900000000000003</v>
      </c>
      <c r="AI26" s="4" t="s">
        <v>402</v>
      </c>
      <c r="AJ26" s="4">
        <v>0.47199999999999998</v>
      </c>
      <c r="AK26" s="4" t="s">
        <v>403</v>
      </c>
      <c r="AL26" s="4" t="s">
        <v>404</v>
      </c>
      <c r="AM26" s="4" t="s">
        <v>405</v>
      </c>
    </row>
    <row r="27" spans="1:39" ht="78" x14ac:dyDescent="0.3">
      <c r="A27" s="4" t="s">
        <v>406</v>
      </c>
      <c r="B27" s="4" t="s">
        <v>40</v>
      </c>
      <c r="C27" s="4">
        <v>2024</v>
      </c>
      <c r="D27" s="4" t="s">
        <v>189</v>
      </c>
      <c r="E27" s="6"/>
      <c r="F27" s="4">
        <v>303</v>
      </c>
      <c r="H27" s="5" t="s">
        <v>407</v>
      </c>
      <c r="I27" s="4" t="s">
        <v>408</v>
      </c>
      <c r="J27" s="4" t="s">
        <v>44</v>
      </c>
      <c r="K27" s="6"/>
      <c r="L27" s="4" t="s">
        <v>409</v>
      </c>
      <c r="P27" s="4" t="s">
        <v>410</v>
      </c>
      <c r="Q27" s="4" t="s">
        <v>411</v>
      </c>
      <c r="S27" s="4" t="s">
        <v>94</v>
      </c>
      <c r="U27" s="4" t="s">
        <v>412</v>
      </c>
      <c r="W27" s="4" t="s">
        <v>413</v>
      </c>
      <c r="X27" s="4" t="s">
        <v>77</v>
      </c>
      <c r="Z27" s="4" t="s">
        <v>414</v>
      </c>
      <c r="AA27" s="4">
        <v>5</v>
      </c>
      <c r="AB27" s="4" t="s">
        <v>56</v>
      </c>
      <c r="AC27" s="4">
        <v>0.77100000000000002</v>
      </c>
      <c r="AD27" s="4" t="s">
        <v>415</v>
      </c>
      <c r="AE27" s="4" t="s">
        <v>416</v>
      </c>
      <c r="AF27" s="4" t="s">
        <v>299</v>
      </c>
      <c r="AG27" s="4">
        <v>34</v>
      </c>
      <c r="AH27" s="4">
        <v>0.94399999999999995</v>
      </c>
      <c r="AI27" s="4" t="s">
        <v>417</v>
      </c>
      <c r="AJ27" s="4">
        <v>0.47399999999999998</v>
      </c>
      <c r="AK27" s="4" t="s">
        <v>418</v>
      </c>
      <c r="AL27" s="4" t="s">
        <v>419</v>
      </c>
      <c r="AM27" s="4" t="s">
        <v>420</v>
      </c>
    </row>
    <row r="28" spans="1:39" ht="65" x14ac:dyDescent="0.3">
      <c r="A28" s="4" t="s">
        <v>421</v>
      </c>
      <c r="B28" s="4" t="s">
        <v>40</v>
      </c>
      <c r="C28" s="4">
        <f>_xlfn.NUMBERVALUE(_xlfn.TEXTAFTER(TRIM(Table1[[#This Row],[Study]]), " ", -1), ",", ".")</f>
        <v>2019</v>
      </c>
      <c r="D28" s="4" t="s">
        <v>422</v>
      </c>
      <c r="E28" s="4">
        <v>46</v>
      </c>
      <c r="F28" s="4">
        <v>125</v>
      </c>
      <c r="H28" s="5" t="s">
        <v>423</v>
      </c>
      <c r="I28" s="4" t="s">
        <v>424</v>
      </c>
      <c r="J28" s="4" t="s">
        <v>44</v>
      </c>
      <c r="K28" s="6"/>
      <c r="L28" s="4" t="s">
        <v>425</v>
      </c>
      <c r="N28" s="4" t="s">
        <v>426</v>
      </c>
      <c r="P28" s="4" t="s">
        <v>427</v>
      </c>
      <c r="Q28" s="4" t="s">
        <v>180</v>
      </c>
      <c r="S28" s="4" t="s">
        <v>73</v>
      </c>
      <c r="U28" s="4" t="s">
        <v>428</v>
      </c>
      <c r="W28" s="4" t="s">
        <v>429</v>
      </c>
      <c r="X28" s="4" t="s">
        <v>77</v>
      </c>
      <c r="Z28" s="4" t="s">
        <v>430</v>
      </c>
      <c r="AA28" s="4">
        <v>10</v>
      </c>
      <c r="AB28" s="4" t="s">
        <v>56</v>
      </c>
      <c r="AC28" s="4">
        <v>0.89</v>
      </c>
      <c r="AD28" s="4" t="s">
        <v>431</v>
      </c>
      <c r="AE28" s="4" t="s">
        <v>432</v>
      </c>
      <c r="AF28" s="4" t="s">
        <v>299</v>
      </c>
      <c r="AG28" s="4">
        <v>6</v>
      </c>
      <c r="AH28" s="4">
        <v>0.89</v>
      </c>
      <c r="AI28" s="4" t="s">
        <v>433</v>
      </c>
      <c r="AK28" s="4" t="s">
        <v>434</v>
      </c>
      <c r="AL28" s="6"/>
      <c r="AM28" s="4" t="s">
        <v>302</v>
      </c>
    </row>
    <row r="29" spans="1:39" ht="117" x14ac:dyDescent="0.3">
      <c r="A29" s="4" t="s">
        <v>435</v>
      </c>
      <c r="B29" s="4" t="s">
        <v>64</v>
      </c>
      <c r="C29" s="4">
        <v>2021</v>
      </c>
      <c r="D29" s="4" t="s">
        <v>65</v>
      </c>
      <c r="E29" s="4">
        <v>46</v>
      </c>
      <c r="F29" s="4">
        <v>237</v>
      </c>
      <c r="G29" s="4" t="s">
        <v>436</v>
      </c>
      <c r="H29" s="5" t="s">
        <v>437</v>
      </c>
      <c r="I29" s="4" t="s">
        <v>438</v>
      </c>
      <c r="J29" s="4" t="s">
        <v>44</v>
      </c>
      <c r="K29" s="4">
        <v>49.83</v>
      </c>
      <c r="L29" s="4" t="s">
        <v>439</v>
      </c>
      <c r="M29" s="6"/>
      <c r="N29" s="4" t="s">
        <v>358</v>
      </c>
      <c r="O29" s="4">
        <v>2019</v>
      </c>
      <c r="P29" s="4" t="s">
        <v>112</v>
      </c>
      <c r="Q29" s="4" t="s">
        <v>440</v>
      </c>
      <c r="S29" s="4" t="s">
        <v>94</v>
      </c>
      <c r="U29" s="4" t="s">
        <v>441</v>
      </c>
      <c r="V29" s="4" t="s">
        <v>51</v>
      </c>
      <c r="W29" s="4" t="s">
        <v>442</v>
      </c>
      <c r="X29" s="4" t="s">
        <v>77</v>
      </c>
      <c r="Z29" s="4" t="s">
        <v>220</v>
      </c>
      <c r="AA29" s="4">
        <v>3</v>
      </c>
      <c r="AB29" s="4" t="s">
        <v>56</v>
      </c>
      <c r="AC29" s="4">
        <v>0.877</v>
      </c>
      <c r="AD29" s="4" t="s">
        <v>443</v>
      </c>
      <c r="AE29" s="4" t="s">
        <v>348</v>
      </c>
      <c r="AF29" s="4" t="s">
        <v>56</v>
      </c>
      <c r="AG29" s="4">
        <v>3</v>
      </c>
      <c r="AH29" s="4">
        <v>0.89</v>
      </c>
      <c r="AI29" s="4" t="s">
        <v>444</v>
      </c>
      <c r="AJ29" s="4">
        <v>0.23200000000000001</v>
      </c>
      <c r="AK29" s="4" t="s">
        <v>386</v>
      </c>
      <c r="AL29" s="4" t="s">
        <v>445</v>
      </c>
      <c r="AM29" s="4" t="s">
        <v>446</v>
      </c>
    </row>
    <row r="30" spans="1:39" ht="65" x14ac:dyDescent="0.3">
      <c r="A30" s="4" t="s">
        <v>447</v>
      </c>
      <c r="B30" s="4" t="s">
        <v>64</v>
      </c>
      <c r="C30" s="4">
        <v>2022</v>
      </c>
      <c r="D30" s="4" t="s">
        <v>448</v>
      </c>
      <c r="E30" s="4">
        <v>63</v>
      </c>
      <c r="F30" s="4">
        <v>343</v>
      </c>
      <c r="G30" s="4" t="s">
        <v>449</v>
      </c>
      <c r="H30" s="5" t="s">
        <v>450</v>
      </c>
      <c r="I30" s="4" t="s">
        <v>449</v>
      </c>
      <c r="J30" s="4" t="s">
        <v>44</v>
      </c>
      <c r="K30" s="4">
        <v>65.12</v>
      </c>
      <c r="L30" s="4" t="s">
        <v>451</v>
      </c>
      <c r="M30" s="4">
        <v>16.61</v>
      </c>
      <c r="N30" s="4" t="s">
        <v>452</v>
      </c>
      <c r="O30" s="4">
        <v>2020</v>
      </c>
      <c r="P30" s="4" t="s">
        <v>453</v>
      </c>
      <c r="Q30" s="4" t="s">
        <v>71</v>
      </c>
      <c r="R30" s="4" t="s">
        <v>454</v>
      </c>
      <c r="S30" s="4" t="s">
        <v>455</v>
      </c>
      <c r="U30" s="4" t="s">
        <v>456</v>
      </c>
      <c r="V30" s="4" t="s">
        <v>51</v>
      </c>
      <c r="W30" s="4" t="s">
        <v>457</v>
      </c>
      <c r="X30" s="4" t="s">
        <v>77</v>
      </c>
      <c r="Z30" s="4" t="s">
        <v>117</v>
      </c>
      <c r="AA30" s="4">
        <v>13</v>
      </c>
      <c r="AB30" s="4" t="s">
        <v>56</v>
      </c>
      <c r="AC30" s="4">
        <v>0.93</v>
      </c>
      <c r="AD30" s="4" t="s">
        <v>458</v>
      </c>
      <c r="AE30" s="4" t="s">
        <v>459</v>
      </c>
      <c r="AF30" s="4" t="s">
        <v>99</v>
      </c>
      <c r="AG30" s="4">
        <v>5</v>
      </c>
      <c r="AH30" s="4">
        <v>0.91</v>
      </c>
      <c r="AI30" s="4" t="s">
        <v>460</v>
      </c>
      <c r="AJ30" s="4">
        <v>0.56599999999999995</v>
      </c>
      <c r="AK30" s="4" t="s">
        <v>461</v>
      </c>
      <c r="AL30" s="4" t="s">
        <v>462</v>
      </c>
      <c r="AM30" s="4" t="s">
        <v>463</v>
      </c>
    </row>
    <row r="31" spans="1:39" ht="117" x14ac:dyDescent="0.3">
      <c r="A31" s="4" t="s">
        <v>464</v>
      </c>
      <c r="B31" s="4" t="s">
        <v>64</v>
      </c>
      <c r="C31" s="4">
        <f>_xlfn.NUMBERVALUE(_xlfn.TEXTAFTER(TRIM(Table1[[#This Row],[Study]]), " ", -1), ",", ".")</f>
        <v>2019</v>
      </c>
      <c r="D31" s="4" t="s">
        <v>465</v>
      </c>
      <c r="E31" s="4">
        <v>49</v>
      </c>
      <c r="F31" s="4">
        <v>164</v>
      </c>
      <c r="G31" s="4" t="s">
        <v>466</v>
      </c>
      <c r="H31" s="5">
        <v>0.63</v>
      </c>
      <c r="I31" s="4" t="s">
        <v>467</v>
      </c>
      <c r="J31" s="4" t="s">
        <v>44</v>
      </c>
      <c r="K31" s="4">
        <v>35</v>
      </c>
      <c r="L31" s="4" t="s">
        <v>468</v>
      </c>
      <c r="M31" s="4">
        <v>28</v>
      </c>
      <c r="N31" s="4" t="s">
        <v>469</v>
      </c>
      <c r="O31" s="4">
        <v>2016</v>
      </c>
      <c r="P31" s="4" t="s">
        <v>470</v>
      </c>
      <c r="Q31" s="4" t="s">
        <v>471</v>
      </c>
      <c r="S31" s="4" t="s">
        <v>455</v>
      </c>
      <c r="U31" s="4" t="s">
        <v>472</v>
      </c>
      <c r="V31" s="4" t="s">
        <v>75</v>
      </c>
      <c r="W31" s="4" t="s">
        <v>473</v>
      </c>
      <c r="X31" s="4" t="s">
        <v>77</v>
      </c>
      <c r="Z31" s="4" t="s">
        <v>474</v>
      </c>
      <c r="AA31" s="4">
        <v>5</v>
      </c>
      <c r="AB31" s="4" t="s">
        <v>56</v>
      </c>
      <c r="AC31" s="4">
        <v>0.93</v>
      </c>
      <c r="AD31" s="4" t="s">
        <v>475</v>
      </c>
      <c r="AE31" s="4" t="s">
        <v>476</v>
      </c>
      <c r="AF31" s="4" t="s">
        <v>346</v>
      </c>
      <c r="AG31" s="4">
        <v>11</v>
      </c>
      <c r="AH31" s="4">
        <v>0.95</v>
      </c>
      <c r="AI31" s="3" t="s">
        <v>477</v>
      </c>
      <c r="AJ31" s="4">
        <v>0.53</v>
      </c>
      <c r="AK31" s="4" t="s">
        <v>386</v>
      </c>
      <c r="AL31" s="6"/>
      <c r="AM31" s="4" t="s">
        <v>478</v>
      </c>
    </row>
    <row r="32" spans="1:39" ht="78" x14ac:dyDescent="0.3">
      <c r="A32" s="4" t="s">
        <v>479</v>
      </c>
      <c r="B32" s="4" t="s">
        <v>40</v>
      </c>
      <c r="C32" s="4">
        <f>_xlfn.NUMBERVALUE(_xlfn.TEXTAFTER(TRIM(Table1[[#This Row],[Study]]), " ", -1), ",", ".")</f>
        <v>2023</v>
      </c>
      <c r="D32" s="4" t="s">
        <v>480</v>
      </c>
      <c r="E32" s="4">
        <v>61</v>
      </c>
      <c r="F32" s="4">
        <v>200</v>
      </c>
      <c r="H32" s="5" t="s">
        <v>481</v>
      </c>
      <c r="J32" s="4" t="s">
        <v>44</v>
      </c>
      <c r="L32" s="4" t="s">
        <v>482</v>
      </c>
      <c r="O32" s="6"/>
      <c r="P32" s="4" t="s">
        <v>483</v>
      </c>
      <c r="Q32" s="4" t="s">
        <v>71</v>
      </c>
      <c r="R32" s="4" t="s">
        <v>484</v>
      </c>
      <c r="S32" s="4" t="s">
        <v>73</v>
      </c>
      <c r="U32" s="4" t="s">
        <v>485</v>
      </c>
      <c r="W32" s="4" t="s">
        <v>486</v>
      </c>
      <c r="X32" s="4" t="s">
        <v>77</v>
      </c>
      <c r="Z32" s="4" t="s">
        <v>117</v>
      </c>
      <c r="AA32" s="4">
        <v>4</v>
      </c>
      <c r="AB32" s="4" t="s">
        <v>56</v>
      </c>
      <c r="AC32" s="4">
        <v>0.76</v>
      </c>
      <c r="AD32" s="4" t="s">
        <v>487</v>
      </c>
      <c r="AE32" s="4" t="s">
        <v>488</v>
      </c>
      <c r="AF32" s="4" t="s">
        <v>346</v>
      </c>
      <c r="AG32" s="4">
        <v>3</v>
      </c>
      <c r="AH32" s="4">
        <v>0.7</v>
      </c>
      <c r="AI32" s="4" t="s">
        <v>489</v>
      </c>
      <c r="AJ32" s="13">
        <v>0.64400000000000002</v>
      </c>
      <c r="AK32" s="13" t="s">
        <v>490</v>
      </c>
      <c r="AL32" s="14" t="s">
        <v>491</v>
      </c>
      <c r="AM32" s="13" t="s">
        <v>492</v>
      </c>
    </row>
    <row r="33" spans="1:39" ht="130.5" x14ac:dyDescent="0.3">
      <c r="A33" s="4" t="s">
        <v>493</v>
      </c>
      <c r="B33" s="4" t="s">
        <v>40</v>
      </c>
      <c r="C33" s="4">
        <f>_xlfn.NUMBERVALUE(_xlfn.TEXTAFTER(TRIM(Table1[[#This Row],[Study]]), " ", -1), ",", ".")</f>
        <v>2003</v>
      </c>
      <c r="D33" s="4" t="s">
        <v>189</v>
      </c>
      <c r="E33" s="4">
        <v>78</v>
      </c>
      <c r="F33" s="4">
        <v>107</v>
      </c>
      <c r="G33" s="4" t="s">
        <v>494</v>
      </c>
      <c r="H33" s="5">
        <v>28.4</v>
      </c>
      <c r="I33" s="4" t="s">
        <v>495</v>
      </c>
      <c r="J33" s="4" t="s">
        <v>44</v>
      </c>
      <c r="L33" s="4" t="s">
        <v>496</v>
      </c>
      <c r="M33" s="6"/>
      <c r="N33" s="6"/>
      <c r="O33" s="13"/>
      <c r="P33" s="6" t="s">
        <v>497</v>
      </c>
      <c r="Q33" s="4" t="s">
        <v>498</v>
      </c>
      <c r="R33" s="4" t="s">
        <v>499</v>
      </c>
      <c r="S33" s="4" t="s">
        <v>398</v>
      </c>
      <c r="U33" s="4" t="s">
        <v>500</v>
      </c>
      <c r="W33" s="4" t="s">
        <v>501</v>
      </c>
      <c r="X33" s="4" t="s">
        <v>77</v>
      </c>
      <c r="Z33" s="4" t="s">
        <v>502</v>
      </c>
      <c r="AA33" s="4">
        <v>12</v>
      </c>
      <c r="AB33" s="4" t="s">
        <v>56</v>
      </c>
      <c r="AC33" s="6" t="s">
        <v>503</v>
      </c>
      <c r="AD33" s="4" t="s">
        <v>504</v>
      </c>
      <c r="AE33" s="4" t="s">
        <v>505</v>
      </c>
      <c r="AF33" s="4" t="s">
        <v>346</v>
      </c>
      <c r="AG33" s="4">
        <v>9</v>
      </c>
      <c r="AH33" s="3">
        <v>0.89</v>
      </c>
      <c r="AI33" s="3" t="s">
        <v>506</v>
      </c>
      <c r="AJ33" s="6" t="s">
        <v>507</v>
      </c>
      <c r="AK33" s="4" t="s">
        <v>508</v>
      </c>
      <c r="AL33" s="3" t="s">
        <v>509</v>
      </c>
      <c r="AM33" s="4" t="s">
        <v>510</v>
      </c>
    </row>
    <row r="34" spans="1:39" ht="91" x14ac:dyDescent="0.3">
      <c r="A34" s="4" t="s">
        <v>511</v>
      </c>
      <c r="B34" s="4" t="s">
        <v>40</v>
      </c>
      <c r="C34" s="4">
        <f>_xlfn.NUMBERVALUE(_xlfn.TEXTAFTER(TRIM(Table1[[#This Row],[Study]]), " ", -1), ",", ".")</f>
        <v>2014</v>
      </c>
      <c r="D34" s="4" t="s">
        <v>65</v>
      </c>
      <c r="E34" s="4">
        <v>46</v>
      </c>
      <c r="F34" s="4">
        <v>194</v>
      </c>
      <c r="H34" s="5" t="s">
        <v>512</v>
      </c>
      <c r="I34" s="11"/>
      <c r="J34" s="4" t="s">
        <v>44</v>
      </c>
      <c r="L34" s="4" t="s">
        <v>513</v>
      </c>
      <c r="M34" s="10" t="s">
        <v>514</v>
      </c>
      <c r="N34" s="4" t="s">
        <v>515</v>
      </c>
      <c r="O34" s="13"/>
      <c r="Q34" s="4" t="s">
        <v>516</v>
      </c>
      <c r="R34" s="4" t="s">
        <v>517</v>
      </c>
      <c r="S34" s="4" t="s">
        <v>73</v>
      </c>
      <c r="U34" s="4" t="s">
        <v>518</v>
      </c>
      <c r="W34" s="4" t="s">
        <v>519</v>
      </c>
      <c r="X34" s="4" t="s">
        <v>77</v>
      </c>
      <c r="Y34" s="4" t="s">
        <v>520</v>
      </c>
      <c r="Z34" s="4" t="s">
        <v>521</v>
      </c>
      <c r="AA34" s="4">
        <v>12</v>
      </c>
      <c r="AB34" s="4" t="s">
        <v>56</v>
      </c>
      <c r="AC34" s="6" t="s">
        <v>522</v>
      </c>
      <c r="AD34" s="4" t="s">
        <v>523</v>
      </c>
      <c r="AE34" s="4" t="s">
        <v>524</v>
      </c>
      <c r="AF34" s="4" t="s">
        <v>99</v>
      </c>
      <c r="AG34" s="4">
        <v>1</v>
      </c>
      <c r="AH34" s="4" t="s">
        <v>525</v>
      </c>
      <c r="AJ34" s="4">
        <v>0.12</v>
      </c>
      <c r="AK34" s="4" t="s">
        <v>526</v>
      </c>
      <c r="AL34" s="6"/>
      <c r="AM34" s="4" t="s">
        <v>527</v>
      </c>
    </row>
    <row r="35" spans="1:39" ht="91" x14ac:dyDescent="0.3">
      <c r="A35" s="4" t="s">
        <v>528</v>
      </c>
      <c r="B35" s="4" t="s">
        <v>40</v>
      </c>
      <c r="C35" s="4">
        <f>_xlfn.NUMBERVALUE(_xlfn.TEXTAFTER(TRIM(Table1[[#This Row],[Study]]), " ", -1), ",", ".")</f>
        <v>2021</v>
      </c>
      <c r="D35" s="4" t="s">
        <v>189</v>
      </c>
      <c r="F35" s="4">
        <v>194</v>
      </c>
      <c r="G35" s="12" t="s">
        <v>529</v>
      </c>
      <c r="H35" s="5" t="s">
        <v>530</v>
      </c>
      <c r="I35" s="4" t="s">
        <v>531</v>
      </c>
      <c r="J35" s="4" t="s">
        <v>532</v>
      </c>
      <c r="L35" s="12" t="s">
        <v>533</v>
      </c>
      <c r="N35" s="4" t="s">
        <v>534</v>
      </c>
      <c r="O35" s="4">
        <v>2021</v>
      </c>
      <c r="P35" s="4" t="s">
        <v>535</v>
      </c>
      <c r="Q35" s="4" t="s">
        <v>536</v>
      </c>
      <c r="S35" s="4" t="s">
        <v>49</v>
      </c>
      <c r="U35" s="4" t="s">
        <v>537</v>
      </c>
      <c r="W35" s="4" t="s">
        <v>538</v>
      </c>
      <c r="X35" s="4" t="s">
        <v>77</v>
      </c>
      <c r="Z35" s="4" t="s">
        <v>117</v>
      </c>
      <c r="AA35" s="4">
        <v>14</v>
      </c>
      <c r="AB35" s="4" t="s">
        <v>56</v>
      </c>
      <c r="AC35" s="4">
        <v>0.90900000000000003</v>
      </c>
      <c r="AD35" s="4" t="s">
        <v>539</v>
      </c>
      <c r="AE35" s="4" t="s">
        <v>540</v>
      </c>
      <c r="AF35" s="4" t="s">
        <v>346</v>
      </c>
      <c r="AG35" s="4">
        <v>5</v>
      </c>
      <c r="AH35" s="4" t="s">
        <v>541</v>
      </c>
      <c r="AI35" s="4" t="s">
        <v>542</v>
      </c>
      <c r="AJ35" s="4">
        <v>0.56200000000000006</v>
      </c>
      <c r="AK35" s="4" t="s">
        <v>543</v>
      </c>
      <c r="AL35" s="6"/>
      <c r="AM35" s="4" t="s">
        <v>544</v>
      </c>
    </row>
    <row r="36" spans="1:39" ht="91" x14ac:dyDescent="0.3">
      <c r="A36" s="4" t="s">
        <v>545</v>
      </c>
      <c r="B36" s="4" t="s">
        <v>546</v>
      </c>
      <c r="C36" s="4">
        <f>_xlfn.NUMBERVALUE(_xlfn.TEXTAFTER(TRIM(Table1[[#This Row],[Study]]), " ", -1), ",", ".")</f>
        <v>2024</v>
      </c>
      <c r="D36" s="4" t="s">
        <v>107</v>
      </c>
      <c r="E36" s="6"/>
      <c r="F36" s="4">
        <v>246</v>
      </c>
      <c r="G36" s="4" t="s">
        <v>547</v>
      </c>
      <c r="H36" s="5" t="s">
        <v>548</v>
      </c>
      <c r="I36" s="4" t="s">
        <v>549</v>
      </c>
      <c r="J36" s="4" t="s">
        <v>44</v>
      </c>
      <c r="K36" s="6"/>
      <c r="L36" s="4" t="s">
        <v>550</v>
      </c>
      <c r="M36" s="4">
        <v>8.2899999999999991</v>
      </c>
      <c r="N36" s="4" t="s">
        <v>551</v>
      </c>
      <c r="O36" s="4">
        <v>2022</v>
      </c>
      <c r="P36" s="4" t="s">
        <v>552</v>
      </c>
      <c r="Q36" s="4" t="s">
        <v>536</v>
      </c>
      <c r="S36" s="4" t="s">
        <v>49</v>
      </c>
      <c r="U36" s="4" t="s">
        <v>553</v>
      </c>
      <c r="V36" s="4" t="s">
        <v>51</v>
      </c>
      <c r="W36" s="4" t="s">
        <v>554</v>
      </c>
      <c r="X36" s="4" t="s">
        <v>77</v>
      </c>
      <c r="Z36" s="4" t="s">
        <v>555</v>
      </c>
      <c r="AA36" s="4">
        <v>4</v>
      </c>
      <c r="AB36" s="4" t="s">
        <v>56</v>
      </c>
      <c r="AC36" s="4">
        <v>0.86099999999999999</v>
      </c>
      <c r="AD36" s="4" t="s">
        <v>556</v>
      </c>
      <c r="AE36" s="4" t="s">
        <v>557</v>
      </c>
      <c r="AF36" s="4" t="s">
        <v>346</v>
      </c>
      <c r="AG36" s="4">
        <v>10</v>
      </c>
      <c r="AH36" s="4" t="s">
        <v>558</v>
      </c>
      <c r="AI36" s="4" t="s">
        <v>559</v>
      </c>
      <c r="AJ36" s="6"/>
      <c r="AK36" s="4" t="s">
        <v>560</v>
      </c>
      <c r="AL36" s="4" t="s">
        <v>561</v>
      </c>
      <c r="AM36" s="4" t="s">
        <v>562</v>
      </c>
    </row>
    <row r="37" spans="1:39" ht="65" x14ac:dyDescent="0.3">
      <c r="A37" s="4" t="s">
        <v>563</v>
      </c>
      <c r="B37" s="4" t="s">
        <v>64</v>
      </c>
      <c r="C37" s="4">
        <f>_xlfn.NUMBERVALUE(_xlfn.TEXTAFTER(TRIM(Table1[[#This Row],[Study]]), " ", -1), ",", ".")</f>
        <v>2024</v>
      </c>
      <c r="D37" s="4" t="s">
        <v>564</v>
      </c>
      <c r="E37" s="4">
        <v>41</v>
      </c>
      <c r="F37" s="4">
        <v>300</v>
      </c>
      <c r="G37" s="4" t="s">
        <v>565</v>
      </c>
      <c r="H37" s="5" t="s">
        <v>566</v>
      </c>
      <c r="I37" s="4" t="s">
        <v>567</v>
      </c>
      <c r="J37" s="4" t="s">
        <v>44</v>
      </c>
      <c r="K37" s="6"/>
      <c r="L37" s="4" t="s">
        <v>568</v>
      </c>
      <c r="M37" s="4">
        <v>33.950000000000003</v>
      </c>
      <c r="N37" s="4" t="s">
        <v>569</v>
      </c>
      <c r="O37" s="4">
        <v>2021</v>
      </c>
      <c r="P37" s="4" t="s">
        <v>570</v>
      </c>
      <c r="Q37" s="4" t="s">
        <v>571</v>
      </c>
      <c r="R37" s="4" t="s">
        <v>572</v>
      </c>
      <c r="S37" s="4" t="s">
        <v>73</v>
      </c>
      <c r="U37" s="4" t="s">
        <v>573</v>
      </c>
      <c r="V37" s="4" t="s">
        <v>75</v>
      </c>
      <c r="W37" s="4" t="s">
        <v>574</v>
      </c>
      <c r="X37" s="4" t="s">
        <v>77</v>
      </c>
      <c r="Z37" s="4" t="s">
        <v>117</v>
      </c>
      <c r="AA37" s="4">
        <v>10</v>
      </c>
      <c r="AB37" s="4" t="s">
        <v>56</v>
      </c>
      <c r="AC37" s="4">
        <v>0.89200000000000002</v>
      </c>
      <c r="AD37" s="13" t="s">
        <v>575</v>
      </c>
      <c r="AE37" s="4" t="s">
        <v>576</v>
      </c>
      <c r="AF37" s="4" t="s">
        <v>346</v>
      </c>
      <c r="AG37" s="4">
        <v>4</v>
      </c>
      <c r="AH37" s="4">
        <v>0.86599999999999999</v>
      </c>
      <c r="AI37" s="13" t="s">
        <v>577</v>
      </c>
      <c r="AJ37" s="4">
        <v>0.62</v>
      </c>
      <c r="AK37" s="4" t="s">
        <v>578</v>
      </c>
      <c r="AL37" s="4" t="s">
        <v>579</v>
      </c>
      <c r="AM37" s="4" t="s">
        <v>580</v>
      </c>
    </row>
    <row r="38" spans="1:39" ht="104" x14ac:dyDescent="0.3">
      <c r="A38" s="1" t="s">
        <v>581</v>
      </c>
      <c r="B38" s="4" t="s">
        <v>40</v>
      </c>
      <c r="C38" s="4">
        <f>_xlfn.NUMBERVALUE(_xlfn.TEXTAFTER(TRIM(Table1[[#This Row],[Study]]), " ", -1), ",", ".")</f>
        <v>2007</v>
      </c>
      <c r="D38" s="4" t="s">
        <v>582</v>
      </c>
      <c r="E38" s="6"/>
      <c r="F38" s="4">
        <v>276</v>
      </c>
      <c r="G38" s="4" t="s">
        <v>583</v>
      </c>
      <c r="H38" s="9"/>
      <c r="J38" s="4" t="s">
        <v>44</v>
      </c>
      <c r="L38" s="4" t="s">
        <v>584</v>
      </c>
      <c r="O38" s="4">
        <v>1999</v>
      </c>
      <c r="P38" s="4" t="s">
        <v>585</v>
      </c>
      <c r="Q38" s="4" t="s">
        <v>217</v>
      </c>
      <c r="S38" s="4" t="s">
        <v>73</v>
      </c>
      <c r="U38" s="4" t="s">
        <v>586</v>
      </c>
      <c r="W38" s="4" t="s">
        <v>587</v>
      </c>
      <c r="X38" s="4" t="s">
        <v>77</v>
      </c>
      <c r="Z38" s="4" t="s">
        <v>588</v>
      </c>
      <c r="AA38" s="4">
        <v>4</v>
      </c>
      <c r="AB38" s="6"/>
      <c r="AC38" s="6"/>
      <c r="AD38" s="4" t="s">
        <v>589</v>
      </c>
      <c r="AE38" s="4" t="s">
        <v>590</v>
      </c>
      <c r="AF38" s="4" t="s">
        <v>591</v>
      </c>
      <c r="AG38" s="6"/>
      <c r="AH38" s="6"/>
      <c r="AI38" s="6"/>
      <c r="AL38" s="6"/>
      <c r="AM38" s="4" t="s">
        <v>592</v>
      </c>
    </row>
    <row r="39" spans="1:39" ht="169" x14ac:dyDescent="0.3">
      <c r="A39" s="4" t="s">
        <v>593</v>
      </c>
      <c r="B39" s="4" t="s">
        <v>64</v>
      </c>
      <c r="C39" s="4">
        <f>_xlfn.NUMBERVALUE(_xlfn.TEXTAFTER(TRIM(Table1[[#This Row],[Study]]), " ", -1), ",", ".")</f>
        <v>2015</v>
      </c>
      <c r="D39" s="4" t="s">
        <v>594</v>
      </c>
      <c r="E39" s="6"/>
      <c r="F39" s="4">
        <v>128</v>
      </c>
      <c r="G39" s="4" t="s">
        <v>595</v>
      </c>
      <c r="H39" s="5">
        <v>18.05</v>
      </c>
      <c r="I39" s="4" t="s">
        <v>596</v>
      </c>
      <c r="J39" s="4" t="s">
        <v>44</v>
      </c>
      <c r="K39" s="6"/>
      <c r="L39" s="4" t="s">
        <v>597</v>
      </c>
      <c r="M39" s="6"/>
      <c r="N39" s="4" t="s">
        <v>358</v>
      </c>
      <c r="O39" s="4">
        <v>2007</v>
      </c>
      <c r="P39" s="4" t="s">
        <v>598</v>
      </c>
      <c r="Q39" s="4" t="s">
        <v>599</v>
      </c>
      <c r="S39" s="4" t="s">
        <v>73</v>
      </c>
      <c r="U39" s="4" t="s">
        <v>600</v>
      </c>
      <c r="V39" s="4" t="s">
        <v>75</v>
      </c>
      <c r="W39" s="4" t="s">
        <v>601</v>
      </c>
      <c r="X39" s="4" t="s">
        <v>53</v>
      </c>
      <c r="Z39" s="4" t="s">
        <v>602</v>
      </c>
      <c r="AA39" s="4">
        <v>8</v>
      </c>
      <c r="AB39" s="4" t="s">
        <v>603</v>
      </c>
      <c r="AC39" s="4">
        <v>0.83699999999999997</v>
      </c>
      <c r="AD39" s="4" t="s">
        <v>604</v>
      </c>
      <c r="AE39" s="4" t="s">
        <v>605</v>
      </c>
      <c r="AF39" s="14" t="s">
        <v>346</v>
      </c>
      <c r="AG39" s="4">
        <v>3</v>
      </c>
      <c r="AH39" s="4">
        <v>0.83399999999999996</v>
      </c>
      <c r="AI39" s="4" t="s">
        <v>606</v>
      </c>
      <c r="AJ39" s="4">
        <v>0.39900000000000002</v>
      </c>
      <c r="AK39" s="4" t="s">
        <v>386</v>
      </c>
      <c r="AL39" s="6"/>
      <c r="AM39" s="4" t="s">
        <v>607</v>
      </c>
    </row>
    <row r="40" spans="1:39" ht="130" x14ac:dyDescent="0.3">
      <c r="A40" s="4" t="s">
        <v>608</v>
      </c>
      <c r="B40" s="4" t="s">
        <v>64</v>
      </c>
      <c r="C40" s="4">
        <f>_xlfn.NUMBERVALUE(_xlfn.TEXTAFTER(TRIM(Table1[[#This Row],[Study]]), " ", -1), ",", ".")</f>
        <v>2023</v>
      </c>
      <c r="D40" s="4" t="s">
        <v>609</v>
      </c>
      <c r="E40" s="6"/>
      <c r="F40" s="4">
        <v>502</v>
      </c>
      <c r="G40" s="4" t="s">
        <v>610</v>
      </c>
      <c r="H40" s="5">
        <v>10</v>
      </c>
      <c r="J40" s="4" t="s">
        <v>44</v>
      </c>
      <c r="K40" s="4">
        <v>88.07</v>
      </c>
      <c r="L40" s="4" t="s">
        <v>611</v>
      </c>
      <c r="M40" s="4">
        <v>15.87</v>
      </c>
      <c r="N40" s="4" t="s">
        <v>612</v>
      </c>
      <c r="O40" s="13">
        <v>2021</v>
      </c>
      <c r="P40" s="4" t="s">
        <v>613</v>
      </c>
      <c r="Q40" s="4" t="s">
        <v>614</v>
      </c>
      <c r="R40" s="4" t="s">
        <v>615</v>
      </c>
      <c r="S40" s="4" t="s">
        <v>616</v>
      </c>
      <c r="U40" s="4" t="s">
        <v>617</v>
      </c>
      <c r="V40" s="4" t="s">
        <v>51</v>
      </c>
      <c r="W40" s="4" t="s">
        <v>618</v>
      </c>
      <c r="X40" s="4" t="s">
        <v>53</v>
      </c>
      <c r="Z40" s="4" t="s">
        <v>117</v>
      </c>
      <c r="AA40" s="4">
        <v>14</v>
      </c>
      <c r="AB40" s="4" t="s">
        <v>603</v>
      </c>
      <c r="AC40" s="4">
        <v>0.94399999999999995</v>
      </c>
      <c r="AD40" s="4" t="s">
        <v>619</v>
      </c>
      <c r="AE40" s="4" t="s">
        <v>459</v>
      </c>
      <c r="AF40" s="4" t="s">
        <v>346</v>
      </c>
      <c r="AG40" s="4">
        <v>7</v>
      </c>
      <c r="AH40" s="4">
        <v>0.96499999999999997</v>
      </c>
      <c r="AI40" s="4" t="s">
        <v>620</v>
      </c>
      <c r="AJ40" s="4">
        <v>0.26100000000000001</v>
      </c>
      <c r="AK40" s="4" t="s">
        <v>386</v>
      </c>
      <c r="AL40" s="6"/>
      <c r="AM40" s="4" t="s">
        <v>621</v>
      </c>
    </row>
    <row r="41" spans="1:39" ht="130" x14ac:dyDescent="0.3">
      <c r="A41" s="4" t="s">
        <v>622</v>
      </c>
      <c r="B41" s="4" t="s">
        <v>64</v>
      </c>
      <c r="C41" s="4">
        <f>_xlfn.NUMBERVALUE(_xlfn.TEXTAFTER(TRIM(Table1[[#This Row],[Study]]), " ", -1), ",", ".")</f>
        <v>2012</v>
      </c>
      <c r="D41" s="4" t="s">
        <v>227</v>
      </c>
      <c r="E41" s="4">
        <v>61</v>
      </c>
      <c r="F41" s="4">
        <v>271</v>
      </c>
      <c r="G41" s="4" t="s">
        <v>623</v>
      </c>
      <c r="H41" s="5">
        <v>18.5</v>
      </c>
      <c r="I41" s="4" t="s">
        <v>624</v>
      </c>
      <c r="J41" s="4" t="s">
        <v>44</v>
      </c>
      <c r="K41" s="4">
        <v>28.8</v>
      </c>
      <c r="L41" s="4" t="s">
        <v>625</v>
      </c>
      <c r="M41" s="6"/>
      <c r="N41" s="4" t="s">
        <v>626</v>
      </c>
      <c r="O41" s="4">
        <v>2006</v>
      </c>
      <c r="P41" s="4" t="s">
        <v>627</v>
      </c>
      <c r="Q41" s="4" t="s">
        <v>440</v>
      </c>
      <c r="S41" s="4" t="s">
        <v>628</v>
      </c>
      <c r="U41" s="4" t="s">
        <v>629</v>
      </c>
      <c r="V41" s="4" t="s">
        <v>75</v>
      </c>
      <c r="W41" s="4" t="s">
        <v>630</v>
      </c>
      <c r="X41" s="4" t="s">
        <v>77</v>
      </c>
      <c r="Z41" s="4" t="s">
        <v>117</v>
      </c>
      <c r="AA41" s="4">
        <v>1</v>
      </c>
      <c r="AB41" s="4" t="s">
        <v>591</v>
      </c>
      <c r="AC41" s="6"/>
      <c r="AD41" s="4" t="s">
        <v>631</v>
      </c>
      <c r="AE41" s="4" t="s">
        <v>476</v>
      </c>
      <c r="AF41" s="4" t="s">
        <v>99</v>
      </c>
      <c r="AG41" s="4">
        <v>1</v>
      </c>
      <c r="AH41" s="6"/>
      <c r="AI41" s="4" t="s">
        <v>632</v>
      </c>
      <c r="AJ41" s="4">
        <v>-0.01</v>
      </c>
      <c r="AK41" s="4" t="s">
        <v>386</v>
      </c>
      <c r="AL41" s="4" t="s">
        <v>633</v>
      </c>
      <c r="AM41" s="4" t="s">
        <v>634</v>
      </c>
    </row>
    <row r="42" spans="1:39" ht="195" x14ac:dyDescent="0.3">
      <c r="A42" s="4" t="s">
        <v>635</v>
      </c>
      <c r="B42" s="4" t="s">
        <v>64</v>
      </c>
      <c r="C42" s="4">
        <f>_xlfn.NUMBERVALUE(_xlfn.TEXTAFTER(TRIM(Table1[[#This Row],[Study]]), " ", -1), ",", ".")</f>
        <v>2017</v>
      </c>
      <c r="D42" s="4" t="s">
        <v>594</v>
      </c>
      <c r="E42" s="6"/>
      <c r="F42" s="4">
        <v>411</v>
      </c>
      <c r="G42" s="4" t="s">
        <v>636</v>
      </c>
      <c r="H42" s="9"/>
      <c r="I42" s="4" t="s">
        <v>637</v>
      </c>
      <c r="J42" s="4" t="s">
        <v>44</v>
      </c>
      <c r="K42" s="4">
        <v>9.77</v>
      </c>
      <c r="L42" s="4" t="s">
        <v>638</v>
      </c>
      <c r="M42" s="4">
        <v>18.73</v>
      </c>
      <c r="N42" s="4" t="s">
        <v>639</v>
      </c>
      <c r="O42" s="4">
        <v>2013</v>
      </c>
      <c r="P42" s="4" t="s">
        <v>640</v>
      </c>
      <c r="Q42" s="4" t="s">
        <v>217</v>
      </c>
      <c r="S42" s="4" t="s">
        <v>73</v>
      </c>
      <c r="U42" s="4" t="s">
        <v>641</v>
      </c>
      <c r="V42" s="4" t="s">
        <v>75</v>
      </c>
      <c r="W42" s="4" t="s">
        <v>642</v>
      </c>
      <c r="X42" s="4" t="s">
        <v>77</v>
      </c>
      <c r="Z42" s="4" t="s">
        <v>117</v>
      </c>
      <c r="AA42" s="4">
        <v>1</v>
      </c>
      <c r="AB42" s="4" t="s">
        <v>591</v>
      </c>
      <c r="AC42" s="6"/>
      <c r="AD42" s="4" t="s">
        <v>643</v>
      </c>
      <c r="AE42" s="4" t="s">
        <v>459</v>
      </c>
      <c r="AF42" s="4" t="s">
        <v>346</v>
      </c>
      <c r="AG42" s="4">
        <v>3</v>
      </c>
      <c r="AH42" s="4">
        <v>0.88</v>
      </c>
      <c r="AI42" s="4" t="s">
        <v>644</v>
      </c>
      <c r="AJ42" s="3">
        <v>0.05</v>
      </c>
      <c r="AK42" s="4" t="s">
        <v>386</v>
      </c>
      <c r="AL42" s="6"/>
      <c r="AM42" s="4" t="s">
        <v>645</v>
      </c>
    </row>
    <row r="43" spans="1:39" ht="234" x14ac:dyDescent="0.3">
      <c r="A43" s="4" t="s">
        <v>646</v>
      </c>
      <c r="B43" s="4" t="s">
        <v>40</v>
      </c>
      <c r="C43" s="4">
        <f>_xlfn.NUMBERVALUE(_xlfn.TEXTAFTER(TRIM(Table1[[#This Row],[Study]]), " ", -1), ",", ".")</f>
        <v>2017</v>
      </c>
      <c r="D43" s="4" t="s">
        <v>647</v>
      </c>
      <c r="E43" s="6"/>
      <c r="F43" s="4">
        <v>432</v>
      </c>
      <c r="G43" s="4" t="s">
        <v>648</v>
      </c>
      <c r="H43" s="5">
        <v>63.9</v>
      </c>
      <c r="I43" s="4" t="s">
        <v>649</v>
      </c>
      <c r="J43" s="4" t="s">
        <v>44</v>
      </c>
      <c r="K43" s="6"/>
      <c r="L43" s="4" t="s">
        <v>650</v>
      </c>
      <c r="M43" s="6"/>
      <c r="N43" s="4" t="s">
        <v>651</v>
      </c>
      <c r="O43" s="4">
        <v>2016</v>
      </c>
      <c r="P43" s="4" t="s">
        <v>652</v>
      </c>
      <c r="Q43" s="4" t="s">
        <v>653</v>
      </c>
      <c r="S43" s="4" t="s">
        <v>94</v>
      </c>
      <c r="U43" s="4" t="s">
        <v>654</v>
      </c>
      <c r="V43" s="4" t="s">
        <v>75</v>
      </c>
      <c r="W43" s="4" t="s">
        <v>655</v>
      </c>
      <c r="X43" s="4" t="s">
        <v>53</v>
      </c>
      <c r="Z43" s="4" t="s">
        <v>117</v>
      </c>
      <c r="AA43" s="4">
        <v>16</v>
      </c>
      <c r="AB43" s="4" t="s">
        <v>656</v>
      </c>
      <c r="AC43" s="4">
        <v>0.754</v>
      </c>
      <c r="AD43" s="4" t="s">
        <v>657</v>
      </c>
      <c r="AE43" s="4" t="s">
        <v>658</v>
      </c>
      <c r="AF43" s="4" t="s">
        <v>346</v>
      </c>
      <c r="AG43" s="4">
        <v>16</v>
      </c>
      <c r="AH43" s="6"/>
      <c r="AI43" s="4" t="s">
        <v>659</v>
      </c>
      <c r="AJ43" s="4">
        <v>0.218</v>
      </c>
      <c r="AK43" s="4" t="s">
        <v>660</v>
      </c>
      <c r="AL43" s="6"/>
      <c r="AM43" s="13" t="s">
        <v>661</v>
      </c>
    </row>
    <row r="44" spans="1:39" ht="91" x14ac:dyDescent="0.3">
      <c r="A44" s="4" t="s">
        <v>662</v>
      </c>
      <c r="B44" s="4" t="s">
        <v>64</v>
      </c>
      <c r="C44" s="4">
        <f>_xlfn.NUMBERVALUE(_xlfn.TEXTAFTER(TRIM(Table1[[#This Row],[Study]]), " ", -1), ",", ".")</f>
        <v>2020</v>
      </c>
      <c r="D44" s="4" t="s">
        <v>663</v>
      </c>
      <c r="E44" s="6"/>
      <c r="F44" s="4">
        <v>226</v>
      </c>
      <c r="G44" s="4" t="s">
        <v>664</v>
      </c>
      <c r="H44" s="5">
        <v>58.54</v>
      </c>
      <c r="I44" s="4" t="s">
        <v>665</v>
      </c>
      <c r="J44" s="4" t="s">
        <v>44</v>
      </c>
      <c r="K44" s="4">
        <v>89.58</v>
      </c>
      <c r="L44" s="4" t="s">
        <v>666</v>
      </c>
      <c r="M44" s="6"/>
      <c r="N44" s="4" t="s">
        <v>667</v>
      </c>
      <c r="O44" s="4">
        <v>2018</v>
      </c>
      <c r="P44" s="4" t="s">
        <v>453</v>
      </c>
      <c r="Q44" s="4" t="s">
        <v>668</v>
      </c>
      <c r="S44" s="4" t="s">
        <v>94</v>
      </c>
      <c r="U44" s="4" t="s">
        <v>669</v>
      </c>
      <c r="V44" s="4" t="s">
        <v>51</v>
      </c>
      <c r="W44" s="4" t="s">
        <v>670</v>
      </c>
      <c r="X44" s="4" t="s">
        <v>53</v>
      </c>
      <c r="Z44" s="4" t="s">
        <v>117</v>
      </c>
      <c r="AA44" s="4">
        <v>11</v>
      </c>
      <c r="AB44" s="4" t="s">
        <v>656</v>
      </c>
      <c r="AC44" s="4">
        <v>0.95</v>
      </c>
      <c r="AD44" s="4" t="s">
        <v>671</v>
      </c>
      <c r="AE44" s="4" t="s">
        <v>348</v>
      </c>
      <c r="AF44" s="4" t="s">
        <v>656</v>
      </c>
      <c r="AG44" s="4">
        <v>4</v>
      </c>
      <c r="AH44" s="4">
        <v>0.78</v>
      </c>
      <c r="AI44" s="4" t="s">
        <v>672</v>
      </c>
      <c r="AJ44" s="4">
        <v>0.46</v>
      </c>
      <c r="AK44" s="4" t="s">
        <v>673</v>
      </c>
      <c r="AL44" s="6"/>
      <c r="AM44" s="4" t="s">
        <v>674</v>
      </c>
    </row>
    <row r="45" spans="1:39" ht="182" x14ac:dyDescent="0.3">
      <c r="A45" s="4" t="s">
        <v>675</v>
      </c>
      <c r="B45" s="4" t="s">
        <v>64</v>
      </c>
      <c r="C45" s="4">
        <f>_xlfn.NUMBERVALUE(_xlfn.TEXTAFTER(TRIM(Table1[[#This Row],[Study]]), " ", -1), ",", ".")</f>
        <v>2015</v>
      </c>
      <c r="D45" s="4" t="s">
        <v>676</v>
      </c>
      <c r="E45" s="6"/>
      <c r="F45" s="4">
        <v>588</v>
      </c>
      <c r="G45" s="4" t="s">
        <v>677</v>
      </c>
      <c r="H45" s="5">
        <v>19.600000000000001</v>
      </c>
      <c r="I45" s="4" t="s">
        <v>678</v>
      </c>
      <c r="J45" s="4" t="s">
        <v>44</v>
      </c>
      <c r="K45" s="4">
        <v>51</v>
      </c>
      <c r="L45" s="4" t="s">
        <v>679</v>
      </c>
      <c r="M45" s="6"/>
      <c r="N45" s="4" t="s">
        <v>667</v>
      </c>
      <c r="O45" s="4">
        <v>2013</v>
      </c>
      <c r="P45" s="4" t="s">
        <v>112</v>
      </c>
      <c r="Q45" s="4" t="s">
        <v>680</v>
      </c>
      <c r="S45" s="4" t="s">
        <v>398</v>
      </c>
      <c r="U45" s="4" t="s">
        <v>174</v>
      </c>
      <c r="V45" s="4" t="s">
        <v>75</v>
      </c>
      <c r="X45" s="4" t="s">
        <v>77</v>
      </c>
      <c r="Z45" s="4" t="s">
        <v>681</v>
      </c>
      <c r="AA45" s="4">
        <v>3</v>
      </c>
      <c r="AB45" s="4" t="s">
        <v>99</v>
      </c>
      <c r="AC45" s="4">
        <v>0.8</v>
      </c>
      <c r="AD45" s="4" t="s">
        <v>682</v>
      </c>
      <c r="AE45" s="4" t="s">
        <v>683</v>
      </c>
      <c r="AF45" s="4" t="s">
        <v>99</v>
      </c>
      <c r="AG45" s="4">
        <v>1</v>
      </c>
      <c r="AH45" s="6"/>
      <c r="AI45" s="4" t="s">
        <v>684</v>
      </c>
      <c r="AJ45" s="4">
        <v>0.44</v>
      </c>
      <c r="AK45" s="4" t="s">
        <v>685</v>
      </c>
      <c r="AL45" s="6"/>
    </row>
    <row r="46" spans="1:39" ht="221" x14ac:dyDescent="0.3">
      <c r="A46" s="4" t="s">
        <v>686</v>
      </c>
      <c r="B46" s="4" t="s">
        <v>64</v>
      </c>
      <c r="C46" s="4">
        <f>_xlfn.NUMBERVALUE(_xlfn.TEXTAFTER(TRIM(Table1[[#This Row],[Study]]), " ", -1), ",", ".")</f>
        <v>2016</v>
      </c>
      <c r="D46" s="4" t="s">
        <v>687</v>
      </c>
      <c r="E46" s="6"/>
      <c r="F46" s="4">
        <v>588</v>
      </c>
      <c r="G46" s="4" t="s">
        <v>688</v>
      </c>
      <c r="H46" s="5">
        <v>19.600000000000001</v>
      </c>
      <c r="I46" s="4" t="s">
        <v>689</v>
      </c>
      <c r="J46" s="4" t="s">
        <v>44</v>
      </c>
      <c r="K46" s="4">
        <v>51</v>
      </c>
      <c r="L46" s="4" t="s">
        <v>690</v>
      </c>
      <c r="M46" s="6"/>
      <c r="N46" s="4" t="s">
        <v>667</v>
      </c>
      <c r="O46" s="4">
        <v>2014</v>
      </c>
      <c r="P46" s="4" t="s">
        <v>453</v>
      </c>
      <c r="Q46" s="4" t="s">
        <v>680</v>
      </c>
      <c r="R46" s="4" t="s">
        <v>691</v>
      </c>
      <c r="S46" s="4" t="s">
        <v>398</v>
      </c>
      <c r="U46" s="4" t="s">
        <v>692</v>
      </c>
      <c r="V46" s="4" t="s">
        <v>75</v>
      </c>
      <c r="W46" s="4" t="s">
        <v>693</v>
      </c>
      <c r="X46" s="4" t="s">
        <v>77</v>
      </c>
      <c r="Z46" s="4" t="s">
        <v>694</v>
      </c>
      <c r="AA46" s="4">
        <v>3</v>
      </c>
      <c r="AB46" s="4" t="s">
        <v>99</v>
      </c>
      <c r="AC46" s="6"/>
      <c r="AD46" s="4" t="s">
        <v>695</v>
      </c>
      <c r="AE46" s="4" t="s">
        <v>696</v>
      </c>
      <c r="AF46" s="4" t="s">
        <v>99</v>
      </c>
      <c r="AG46" s="4">
        <v>1</v>
      </c>
      <c r="AH46" s="6"/>
      <c r="AI46" s="4" t="s">
        <v>697</v>
      </c>
      <c r="AJ46" s="4">
        <v>0.06</v>
      </c>
      <c r="AK46" s="4" t="s">
        <v>698</v>
      </c>
      <c r="AL46" s="4" t="s">
        <v>699</v>
      </c>
      <c r="AM46" s="4" t="s">
        <v>700</v>
      </c>
    </row>
    <row r="47" spans="1:39" ht="91" x14ac:dyDescent="0.3">
      <c r="A47" s="4" t="s">
        <v>701</v>
      </c>
      <c r="B47" s="4" t="s">
        <v>64</v>
      </c>
      <c r="C47" s="4">
        <f>_xlfn.NUMBERVALUE(_xlfn.TEXTAFTER(TRIM(Table1[[#This Row],[Study]]), " ", -1), ",", ".")</f>
        <v>2010</v>
      </c>
      <c r="D47" s="4" t="s">
        <v>702</v>
      </c>
      <c r="E47" s="4">
        <v>63</v>
      </c>
      <c r="F47" s="4">
        <v>333</v>
      </c>
      <c r="G47" s="4" t="s">
        <v>703</v>
      </c>
      <c r="H47" s="5">
        <v>17.7</v>
      </c>
      <c r="I47" s="4" t="s">
        <v>704</v>
      </c>
      <c r="J47" s="4" t="s">
        <v>44</v>
      </c>
      <c r="K47" s="4">
        <v>102.87</v>
      </c>
      <c r="L47" s="4" t="s">
        <v>705</v>
      </c>
      <c r="M47" s="4">
        <v>30.73</v>
      </c>
      <c r="N47" s="4" t="s">
        <v>706</v>
      </c>
      <c r="O47" s="4">
        <v>2007</v>
      </c>
      <c r="P47" s="4" t="s">
        <v>112</v>
      </c>
      <c r="Q47" s="4" t="s">
        <v>440</v>
      </c>
      <c r="R47" s="4" t="s">
        <v>707</v>
      </c>
      <c r="S47" s="4" t="s">
        <v>94</v>
      </c>
      <c r="U47" s="4" t="s">
        <v>708</v>
      </c>
      <c r="V47" s="4" t="s">
        <v>51</v>
      </c>
      <c r="W47" s="4" t="s">
        <v>709</v>
      </c>
      <c r="X47" s="4" t="s">
        <v>77</v>
      </c>
      <c r="Z47" s="4" t="s">
        <v>220</v>
      </c>
      <c r="AA47" s="4">
        <v>6</v>
      </c>
      <c r="AB47" s="4" t="s">
        <v>346</v>
      </c>
      <c r="AC47" s="4">
        <v>0.73099999999999998</v>
      </c>
      <c r="AD47" s="4" t="s">
        <v>710</v>
      </c>
      <c r="AE47" s="4" t="s">
        <v>459</v>
      </c>
      <c r="AF47" s="4" t="s">
        <v>56</v>
      </c>
      <c r="AG47" s="4">
        <v>3</v>
      </c>
      <c r="AH47" s="4">
        <v>0.88200000000000001</v>
      </c>
      <c r="AI47" s="4" t="s">
        <v>711</v>
      </c>
      <c r="AJ47" s="4">
        <v>-0.185</v>
      </c>
      <c r="AK47" s="4" t="s">
        <v>712</v>
      </c>
      <c r="AL47" s="4" t="s">
        <v>713</v>
      </c>
    </row>
    <row r="48" spans="1:39" ht="26" x14ac:dyDescent="0.3">
      <c r="A48" s="4" t="s">
        <v>714</v>
      </c>
      <c r="B48" s="4" t="s">
        <v>40</v>
      </c>
      <c r="C48" s="4">
        <f>_xlfn.NUMBERVALUE(_xlfn.TEXTAFTER(TRIM(Table1[[#This Row],[Study]]), " ", -1), ",", ".")</f>
        <v>2019</v>
      </c>
      <c r="D48" s="4" t="s">
        <v>65</v>
      </c>
      <c r="I48" s="11"/>
      <c r="N48" s="6"/>
      <c r="AE48" s="4" t="s">
        <v>184</v>
      </c>
      <c r="AM48" s="4" t="s">
        <v>715</v>
      </c>
    </row>
    <row r="49" spans="1:39" ht="117" x14ac:dyDescent="0.3">
      <c r="A49" s="4" t="s">
        <v>716</v>
      </c>
      <c r="B49" s="4" t="s">
        <v>64</v>
      </c>
      <c r="C49" s="4">
        <f>_xlfn.NUMBERVALUE(_xlfn.TEXTAFTER(TRIM(Table1[[#This Row],[Study]]), " ", -1), ",", ".")</f>
        <v>2018</v>
      </c>
      <c r="D49" s="4" t="s">
        <v>564</v>
      </c>
      <c r="E49" s="4">
        <v>41</v>
      </c>
      <c r="F49" s="4">
        <v>247</v>
      </c>
      <c r="H49" s="5">
        <v>25</v>
      </c>
      <c r="I49" s="4" t="s">
        <v>717</v>
      </c>
      <c r="J49" s="4" t="s">
        <v>718</v>
      </c>
      <c r="K49" s="6"/>
      <c r="L49" s="4" t="s">
        <v>719</v>
      </c>
      <c r="M49" s="6"/>
      <c r="N49" s="4" t="s">
        <v>720</v>
      </c>
      <c r="O49" s="4">
        <v>2016</v>
      </c>
      <c r="P49" s="4" t="s">
        <v>721</v>
      </c>
      <c r="Q49" s="4" t="s">
        <v>571</v>
      </c>
      <c r="R49" s="4" t="s">
        <v>722</v>
      </c>
      <c r="S49" s="4" t="s">
        <v>73</v>
      </c>
      <c r="U49" s="4" t="s">
        <v>723</v>
      </c>
      <c r="V49" s="4" t="s">
        <v>75</v>
      </c>
      <c r="X49" s="4" t="s">
        <v>77</v>
      </c>
      <c r="Z49" s="4" t="s">
        <v>163</v>
      </c>
      <c r="AA49" s="4">
        <v>9</v>
      </c>
      <c r="AB49" s="4" t="s">
        <v>346</v>
      </c>
      <c r="AC49" s="4">
        <v>0.78200000000000003</v>
      </c>
      <c r="AD49" s="4" t="s">
        <v>724</v>
      </c>
      <c r="AE49" s="4" t="s">
        <v>266</v>
      </c>
      <c r="AF49" s="4" t="s">
        <v>56</v>
      </c>
      <c r="AG49" s="4">
        <v>5</v>
      </c>
      <c r="AH49" s="4">
        <v>0.92700000000000005</v>
      </c>
      <c r="AI49" s="4" t="s">
        <v>725</v>
      </c>
      <c r="AJ49" s="4">
        <v>0.42799999999999999</v>
      </c>
      <c r="AK49" s="4" t="s">
        <v>726</v>
      </c>
    </row>
    <row r="50" spans="1:39" ht="26" x14ac:dyDescent="0.3">
      <c r="A50" s="4" t="s">
        <v>727</v>
      </c>
      <c r="B50" s="4" t="s">
        <v>40</v>
      </c>
      <c r="C50" s="4">
        <f>_xlfn.NUMBERVALUE(_xlfn.TEXTAFTER(TRIM(Table1[[#This Row],[Study]]), " ", -1), ",", ".")</f>
        <v>2017</v>
      </c>
      <c r="D50" s="4" t="s">
        <v>728</v>
      </c>
      <c r="E50" s="4">
        <v>88</v>
      </c>
      <c r="Z50" s="4" t="s">
        <v>729</v>
      </c>
      <c r="AE50" s="4" t="s">
        <v>730</v>
      </c>
      <c r="AM50" s="4" t="s">
        <v>731</v>
      </c>
    </row>
    <row r="51" spans="1:39" ht="104" x14ac:dyDescent="0.3">
      <c r="A51" s="4" t="s">
        <v>732</v>
      </c>
      <c r="B51" s="4" t="s">
        <v>40</v>
      </c>
      <c r="C51" s="4">
        <f>_xlfn.NUMBERVALUE(_xlfn.TEXTAFTER(TRIM(Table1[[#This Row],[Study]]), " ", -1), ",", ".")</f>
        <v>2019</v>
      </c>
      <c r="D51" s="4" t="s">
        <v>733</v>
      </c>
      <c r="E51" s="6"/>
      <c r="F51" s="4">
        <v>206</v>
      </c>
      <c r="G51" s="4" t="s">
        <v>734</v>
      </c>
      <c r="H51" s="5">
        <v>35.799999999999997</v>
      </c>
      <c r="I51" s="4" t="s">
        <v>735</v>
      </c>
      <c r="J51" s="4" t="s">
        <v>44</v>
      </c>
      <c r="K51" s="6"/>
      <c r="L51" s="4" t="s">
        <v>736</v>
      </c>
      <c r="N51" s="6"/>
      <c r="O51" s="4">
        <v>2017</v>
      </c>
      <c r="P51" s="4" t="s">
        <v>112</v>
      </c>
      <c r="Q51" s="4" t="s">
        <v>737</v>
      </c>
      <c r="R51" s="4" t="s">
        <v>738</v>
      </c>
      <c r="S51" s="4" t="s">
        <v>49</v>
      </c>
      <c r="U51" s="4" t="s">
        <v>739</v>
      </c>
      <c r="V51" s="6"/>
      <c r="X51" s="4" t="s">
        <v>77</v>
      </c>
      <c r="Z51" s="4" t="s">
        <v>163</v>
      </c>
      <c r="AA51" s="4">
        <v>9</v>
      </c>
      <c r="AB51" s="4" t="s">
        <v>346</v>
      </c>
      <c r="AC51" s="4">
        <v>0.83099999999999996</v>
      </c>
      <c r="AE51" s="4" t="s">
        <v>740</v>
      </c>
      <c r="AF51" s="4" t="s">
        <v>56</v>
      </c>
      <c r="AG51" s="4">
        <v>6</v>
      </c>
      <c r="AH51" s="4">
        <v>0.77400000000000002</v>
      </c>
      <c r="AJ51" s="4">
        <v>0.46300000000000002</v>
      </c>
      <c r="AK51" s="4" t="s">
        <v>741</v>
      </c>
      <c r="AL51" s="6"/>
      <c r="AM51" s="4" t="s">
        <v>742</v>
      </c>
    </row>
    <row r="52" spans="1:39" ht="39" x14ac:dyDescent="0.3">
      <c r="A52" s="4" t="s">
        <v>743</v>
      </c>
      <c r="B52" s="4" t="s">
        <v>40</v>
      </c>
      <c r="C52" s="4">
        <f>_xlfn.NUMBERVALUE(_xlfn.TEXTAFTER(TRIM(Table1[[#This Row],[Study]]), " ", -1), ",", ".")</f>
        <v>2014</v>
      </c>
      <c r="D52" s="4" t="s">
        <v>744</v>
      </c>
      <c r="E52" s="6"/>
      <c r="F52" s="4">
        <v>311</v>
      </c>
      <c r="H52" s="5">
        <v>7.68</v>
      </c>
      <c r="J52" s="4" t="s">
        <v>44</v>
      </c>
      <c r="L52" s="4" t="s">
        <v>745</v>
      </c>
      <c r="M52" s="4">
        <v>63.06</v>
      </c>
      <c r="N52" s="4" t="s">
        <v>746</v>
      </c>
      <c r="O52" s="4">
        <v>2014</v>
      </c>
      <c r="P52" s="4" t="s">
        <v>747</v>
      </c>
      <c r="Q52" s="4" t="s">
        <v>748</v>
      </c>
      <c r="S52" s="4" t="s">
        <v>73</v>
      </c>
      <c r="U52" s="4" t="s">
        <v>749</v>
      </c>
      <c r="V52" s="4" t="s">
        <v>51</v>
      </c>
      <c r="X52" s="4" t="s">
        <v>77</v>
      </c>
      <c r="Z52" s="4" t="s">
        <v>540</v>
      </c>
      <c r="AB52" s="4" t="s">
        <v>750</v>
      </c>
      <c r="AC52" s="4" t="s">
        <v>346</v>
      </c>
      <c r="AD52" s="4" t="s">
        <v>751</v>
      </c>
      <c r="AE52" s="4" t="s">
        <v>752</v>
      </c>
      <c r="AF52" s="4">
        <v>2</v>
      </c>
      <c r="AG52" s="4" t="s">
        <v>56</v>
      </c>
      <c r="AH52" s="6"/>
      <c r="AI52" s="4" t="s">
        <v>753</v>
      </c>
      <c r="AJ52" s="6"/>
      <c r="AM52" s="4" t="s">
        <v>754</v>
      </c>
    </row>
    <row r="53" spans="1:39" ht="52" x14ac:dyDescent="0.3">
      <c r="A53" s="1" t="s">
        <v>755</v>
      </c>
      <c r="B53" s="4" t="s">
        <v>40</v>
      </c>
      <c r="C53" s="4">
        <f>_xlfn.NUMBERVALUE(_xlfn.TEXTAFTER(TRIM(Table1[[#This Row],[Study]]), " ", -1), ",", ".")</f>
        <v>2020</v>
      </c>
      <c r="D53" s="4" t="s">
        <v>756</v>
      </c>
      <c r="E53" s="6"/>
      <c r="F53" s="4">
        <v>384</v>
      </c>
      <c r="H53" s="5">
        <v>76.8</v>
      </c>
      <c r="I53" s="4" t="s">
        <v>757</v>
      </c>
      <c r="J53" s="4" t="s">
        <v>44</v>
      </c>
      <c r="K53" s="6"/>
      <c r="L53" s="4" t="s">
        <v>758</v>
      </c>
      <c r="M53" s="6"/>
      <c r="N53" s="4" t="s">
        <v>736</v>
      </c>
      <c r="O53" s="4">
        <v>2018</v>
      </c>
      <c r="P53" s="4" t="s">
        <v>112</v>
      </c>
      <c r="Q53" s="4" t="s">
        <v>759</v>
      </c>
      <c r="S53" s="4" t="s">
        <v>94</v>
      </c>
      <c r="U53" s="6"/>
      <c r="V53" s="6"/>
      <c r="X53" s="4" t="s">
        <v>77</v>
      </c>
      <c r="Z53" s="4" t="s">
        <v>220</v>
      </c>
      <c r="AA53" s="4">
        <v>6</v>
      </c>
      <c r="AB53" s="4" t="s">
        <v>346</v>
      </c>
      <c r="AC53" s="4">
        <v>0.96199999999999997</v>
      </c>
      <c r="AD53" s="4">
        <v>0.90300000000000002</v>
      </c>
      <c r="AE53" s="4" t="s">
        <v>752</v>
      </c>
      <c r="AF53" s="4" t="s">
        <v>56</v>
      </c>
      <c r="AG53" s="4">
        <v>6</v>
      </c>
      <c r="AH53" s="4">
        <v>0.94499999999999995</v>
      </c>
      <c r="AJ53" s="4">
        <v>0.252</v>
      </c>
      <c r="AK53" s="4" t="s">
        <v>741</v>
      </c>
      <c r="AL53" s="6"/>
      <c r="AM53" s="4" t="s">
        <v>760</v>
      </c>
    </row>
    <row r="54" spans="1:39" ht="26" x14ac:dyDescent="0.3">
      <c r="A54" s="4" t="s">
        <v>761</v>
      </c>
      <c r="B54" s="4" t="s">
        <v>40</v>
      </c>
      <c r="C54" s="4">
        <f>_xlfn.NUMBERVALUE(_xlfn.TEXTAFTER(TRIM(Table1[[#This Row],[Study]]), " ", -1), ",", ".")</f>
        <v>2017</v>
      </c>
      <c r="Z54" s="4" t="s">
        <v>163</v>
      </c>
      <c r="AE54" s="4" t="s">
        <v>184</v>
      </c>
      <c r="AM54" s="4" t="s">
        <v>715</v>
      </c>
    </row>
    <row r="55" spans="1:39" ht="104" x14ac:dyDescent="0.3">
      <c r="A55" s="4" t="s">
        <v>762</v>
      </c>
      <c r="B55" s="4" t="s">
        <v>64</v>
      </c>
      <c r="C55" s="4">
        <f>_xlfn.NUMBERVALUE(_xlfn.TEXTAFTER(TRIM(Table1[[#This Row],[Study]]), " ", -1), ",", ".")</f>
        <v>2023</v>
      </c>
      <c r="D55" s="4" t="s">
        <v>763</v>
      </c>
      <c r="E55" s="6"/>
      <c r="F55" s="4">
        <v>192</v>
      </c>
      <c r="G55" s="4" t="s">
        <v>764</v>
      </c>
      <c r="H55" s="5">
        <v>64</v>
      </c>
      <c r="I55" s="4" t="s">
        <v>765</v>
      </c>
      <c r="J55" s="4" t="s">
        <v>44</v>
      </c>
      <c r="K55" s="6"/>
      <c r="L55" s="4" t="s">
        <v>719</v>
      </c>
      <c r="M55" s="6"/>
      <c r="N55" s="4" t="s">
        <v>766</v>
      </c>
      <c r="O55" s="4">
        <v>2021</v>
      </c>
      <c r="P55" s="4" t="s">
        <v>112</v>
      </c>
      <c r="Q55" s="4" t="s">
        <v>767</v>
      </c>
      <c r="R55" s="4" t="s">
        <v>768</v>
      </c>
      <c r="S55" s="4" t="s">
        <v>94</v>
      </c>
      <c r="U55" s="4" t="s">
        <v>769</v>
      </c>
      <c r="V55" s="4" t="s">
        <v>51</v>
      </c>
      <c r="X55" s="4" t="s">
        <v>77</v>
      </c>
      <c r="Z55" s="4" t="s">
        <v>163</v>
      </c>
      <c r="AA55" s="4">
        <v>6</v>
      </c>
      <c r="AB55" s="4" t="s">
        <v>346</v>
      </c>
      <c r="AC55" s="4">
        <v>0.7</v>
      </c>
      <c r="AD55" s="4" t="s">
        <v>770</v>
      </c>
      <c r="AE55" s="4" t="s">
        <v>576</v>
      </c>
      <c r="AF55" s="4" t="s">
        <v>56</v>
      </c>
      <c r="AG55" s="4">
        <v>4</v>
      </c>
      <c r="AH55" s="4">
        <v>0.7</v>
      </c>
      <c r="AJ55" s="4">
        <v>0.29799999999999999</v>
      </c>
      <c r="AL55" s="6"/>
    </row>
    <row r="56" spans="1:39" ht="52" x14ac:dyDescent="0.3">
      <c r="A56" s="4" t="s">
        <v>771</v>
      </c>
      <c r="B56" s="4" t="s">
        <v>40</v>
      </c>
      <c r="C56" s="4">
        <f>_xlfn.NUMBERVALUE(_xlfn.TEXTAFTER(TRIM(Table1[[#This Row],[Study]]), " ", -1), ",", ".")</f>
        <v>2024</v>
      </c>
      <c r="D56" s="4" t="s">
        <v>772</v>
      </c>
      <c r="E56" s="6"/>
      <c r="F56" s="4">
        <v>468</v>
      </c>
      <c r="G56" s="4" t="s">
        <v>773</v>
      </c>
      <c r="H56" s="5">
        <v>66.8</v>
      </c>
      <c r="I56" s="4" t="s">
        <v>774</v>
      </c>
      <c r="J56" s="4" t="s">
        <v>44</v>
      </c>
      <c r="K56" s="6"/>
      <c r="M56" s="6"/>
      <c r="N56" s="4" t="s">
        <v>736</v>
      </c>
      <c r="O56" s="4">
        <v>2022</v>
      </c>
      <c r="P56" s="4" t="s">
        <v>112</v>
      </c>
      <c r="Q56" s="4" t="s">
        <v>47</v>
      </c>
      <c r="S56" s="4" t="s">
        <v>49</v>
      </c>
      <c r="U56" s="4" t="s">
        <v>775</v>
      </c>
      <c r="V56" s="4" t="s">
        <v>75</v>
      </c>
      <c r="X56" s="4" t="s">
        <v>77</v>
      </c>
      <c r="Z56" s="4" t="s">
        <v>163</v>
      </c>
      <c r="AE56" s="4" t="s">
        <v>776</v>
      </c>
      <c r="AM56" s="4" t="s">
        <v>777</v>
      </c>
    </row>
    <row r="57" spans="1:39" ht="78" x14ac:dyDescent="0.3">
      <c r="A57" s="4" t="s">
        <v>778</v>
      </c>
      <c r="B57" s="4" t="s">
        <v>64</v>
      </c>
      <c r="C57" s="4">
        <f>_xlfn.NUMBERVALUE(_xlfn.TEXTAFTER(TRIM(Table1[[#This Row],[Study]]), " ", -1), ",", ".")</f>
        <v>2013</v>
      </c>
      <c r="D57" s="4" t="s">
        <v>779</v>
      </c>
      <c r="E57" s="6"/>
      <c r="F57" s="4">
        <v>171</v>
      </c>
      <c r="H57" s="5">
        <v>17.100000000000001</v>
      </c>
      <c r="I57" s="4" t="s">
        <v>780</v>
      </c>
      <c r="J57" s="4" t="s">
        <v>44</v>
      </c>
      <c r="K57" s="4">
        <v>33</v>
      </c>
      <c r="L57" s="4" t="s">
        <v>781</v>
      </c>
      <c r="M57" s="4">
        <v>10.5</v>
      </c>
      <c r="N57" s="4" t="s">
        <v>781</v>
      </c>
      <c r="O57" s="4">
        <v>2011</v>
      </c>
      <c r="P57" s="4" t="s">
        <v>112</v>
      </c>
      <c r="Q57" s="4" t="s">
        <v>782</v>
      </c>
      <c r="R57" s="4" t="s">
        <v>783</v>
      </c>
      <c r="S57" s="4" t="s">
        <v>94</v>
      </c>
      <c r="U57" s="4" t="s">
        <v>784</v>
      </c>
      <c r="V57" s="4" t="s">
        <v>75</v>
      </c>
      <c r="X57" s="4" t="s">
        <v>77</v>
      </c>
      <c r="Z57" s="4" t="s">
        <v>345</v>
      </c>
      <c r="AA57" s="4">
        <v>5</v>
      </c>
      <c r="AB57" s="4" t="s">
        <v>346</v>
      </c>
      <c r="AC57" s="4">
        <v>0.91</v>
      </c>
      <c r="AD57" s="4" t="s">
        <v>785</v>
      </c>
      <c r="AE57" s="4" t="s">
        <v>740</v>
      </c>
      <c r="AF57" s="4" t="s">
        <v>56</v>
      </c>
      <c r="AG57" s="4">
        <v>3</v>
      </c>
      <c r="AH57" s="4">
        <v>0.92</v>
      </c>
      <c r="AI57" s="4" t="s">
        <v>786</v>
      </c>
      <c r="AJ57" s="4">
        <v>0.85</v>
      </c>
      <c r="AL57" s="4" t="s">
        <v>787</v>
      </c>
    </row>
    <row r="58" spans="1:39" ht="117" x14ac:dyDescent="0.3">
      <c r="A58" s="4" t="s">
        <v>788</v>
      </c>
      <c r="B58" s="4" t="s">
        <v>64</v>
      </c>
      <c r="C58" s="4">
        <f>_xlfn.NUMBERVALUE(_xlfn.TEXTAFTER(TRIM(Table1[[#This Row],[Study]]), " ", -1), ",", ".")</f>
        <v>2017</v>
      </c>
      <c r="D58" s="4" t="s">
        <v>65</v>
      </c>
      <c r="E58" s="4">
        <v>46</v>
      </c>
      <c r="F58" s="4">
        <v>251</v>
      </c>
      <c r="G58" s="4" t="s">
        <v>789</v>
      </c>
      <c r="H58" s="5">
        <v>13.4</v>
      </c>
      <c r="I58" s="4" t="s">
        <v>790</v>
      </c>
      <c r="J58" s="4" t="s">
        <v>44</v>
      </c>
      <c r="K58" s="4">
        <v>39</v>
      </c>
      <c r="L58" s="4" t="s">
        <v>791</v>
      </c>
      <c r="M58" s="4">
        <v>41</v>
      </c>
      <c r="N58" s="4" t="s">
        <v>791</v>
      </c>
      <c r="O58" s="4">
        <v>2015</v>
      </c>
      <c r="P58" s="4" t="s">
        <v>112</v>
      </c>
      <c r="Q58" s="4" t="s">
        <v>328</v>
      </c>
      <c r="R58" s="4" t="s">
        <v>792</v>
      </c>
      <c r="S58" s="4" t="s">
        <v>73</v>
      </c>
      <c r="U58" s="4" t="s">
        <v>51</v>
      </c>
      <c r="V58" s="4" t="s">
        <v>51</v>
      </c>
      <c r="X58" s="4" t="s">
        <v>77</v>
      </c>
      <c r="Z58" s="4" t="s">
        <v>793</v>
      </c>
      <c r="AA58" s="4">
        <v>3</v>
      </c>
      <c r="AB58" s="4" t="s">
        <v>346</v>
      </c>
      <c r="AC58" s="4">
        <v>0.83299999999999996</v>
      </c>
      <c r="AE58" s="4" t="s">
        <v>476</v>
      </c>
      <c r="AF58" s="4" t="s">
        <v>56</v>
      </c>
      <c r="AG58" s="4">
        <v>3</v>
      </c>
      <c r="AH58" s="4">
        <v>0.95599999999999996</v>
      </c>
      <c r="AJ58" s="4">
        <v>0.38100000000000001</v>
      </c>
      <c r="AL58" s="6"/>
    </row>
    <row r="59" spans="1:39" ht="78" x14ac:dyDescent="0.3">
      <c r="A59" s="4" t="s">
        <v>794</v>
      </c>
      <c r="B59" s="4" t="s">
        <v>64</v>
      </c>
      <c r="C59" s="4">
        <f>_xlfn.NUMBERVALUE(_xlfn.TEXTAFTER(TRIM(Table1[[#This Row],[Study]]), " ", -1), ",", ".")</f>
        <v>2022</v>
      </c>
      <c r="D59" s="4" t="s">
        <v>795</v>
      </c>
      <c r="E59" s="6"/>
      <c r="F59" s="4">
        <v>189</v>
      </c>
      <c r="H59" s="5">
        <v>54.4</v>
      </c>
      <c r="I59" s="11" t="s">
        <v>796</v>
      </c>
      <c r="J59" s="4" t="s">
        <v>44</v>
      </c>
      <c r="K59" s="6"/>
      <c r="L59" s="4" t="s">
        <v>719</v>
      </c>
      <c r="M59" s="6"/>
      <c r="N59" s="4" t="s">
        <v>736</v>
      </c>
      <c r="O59" s="4">
        <v>2020</v>
      </c>
      <c r="P59" s="4" t="s">
        <v>112</v>
      </c>
      <c r="Q59" s="4" t="s">
        <v>797</v>
      </c>
      <c r="R59" s="4" t="s">
        <v>798</v>
      </c>
      <c r="S59" s="4" t="s">
        <v>94</v>
      </c>
      <c r="U59" s="4" t="s">
        <v>799</v>
      </c>
      <c r="V59" s="4" t="s">
        <v>51</v>
      </c>
      <c r="X59" s="4" t="s">
        <v>77</v>
      </c>
      <c r="Z59" s="4" t="s">
        <v>163</v>
      </c>
      <c r="AA59" s="4">
        <v>3</v>
      </c>
      <c r="AB59" s="4" t="s">
        <v>99</v>
      </c>
      <c r="AC59" s="4">
        <v>0.88600000000000001</v>
      </c>
      <c r="AD59" s="4" t="s">
        <v>800</v>
      </c>
      <c r="AE59" s="4" t="s">
        <v>222</v>
      </c>
      <c r="AF59" s="4" t="s">
        <v>99</v>
      </c>
      <c r="AG59" s="4">
        <v>2</v>
      </c>
      <c r="AH59" s="4">
        <v>0.88200000000000001</v>
      </c>
      <c r="AI59" s="4" t="s">
        <v>801</v>
      </c>
      <c r="AJ59" s="4">
        <v>0.37</v>
      </c>
      <c r="AK59" s="4" t="s">
        <v>802</v>
      </c>
      <c r="AL59" s="6"/>
    </row>
    <row r="60" spans="1:39" ht="91" x14ac:dyDescent="0.3">
      <c r="A60" s="4" t="s">
        <v>803</v>
      </c>
      <c r="B60" s="4" t="s">
        <v>64</v>
      </c>
      <c r="C60" s="4">
        <f>_xlfn.NUMBERVALUE(_xlfn.TEXTAFTER(TRIM(Table1[[#This Row],[Study]]), " ", -1), ",", ".")</f>
        <v>2015</v>
      </c>
      <c r="D60" s="4" t="s">
        <v>804</v>
      </c>
      <c r="E60" s="4">
        <v>71</v>
      </c>
      <c r="F60" s="4">
        <v>219</v>
      </c>
      <c r="H60" s="5">
        <v>53.7</v>
      </c>
      <c r="I60" s="4" t="s">
        <v>805</v>
      </c>
      <c r="J60" s="4" t="s">
        <v>44</v>
      </c>
      <c r="K60" s="6"/>
      <c r="L60" s="4" t="s">
        <v>719</v>
      </c>
      <c r="M60" s="4">
        <v>16.38</v>
      </c>
      <c r="N60" s="4" t="s">
        <v>806</v>
      </c>
      <c r="O60" s="4">
        <v>2011</v>
      </c>
      <c r="P60" s="4" t="s">
        <v>807</v>
      </c>
      <c r="Q60" s="4" t="s">
        <v>440</v>
      </c>
      <c r="R60" s="4" t="s">
        <v>808</v>
      </c>
      <c r="S60" s="4" t="s">
        <v>94</v>
      </c>
      <c r="U60" s="4" t="s">
        <v>809</v>
      </c>
      <c r="V60" s="4" t="s">
        <v>75</v>
      </c>
      <c r="W60" s="4" t="s">
        <v>810</v>
      </c>
      <c r="X60" s="4" t="s">
        <v>77</v>
      </c>
      <c r="Z60" s="4" t="s">
        <v>163</v>
      </c>
      <c r="AA60" s="4">
        <v>11</v>
      </c>
      <c r="AB60" s="4" t="s">
        <v>99</v>
      </c>
      <c r="AC60" s="4">
        <v>0.93300000000000005</v>
      </c>
      <c r="AD60" s="4" t="s">
        <v>800</v>
      </c>
      <c r="AE60" s="4" t="s">
        <v>752</v>
      </c>
      <c r="AF60" s="4" t="s">
        <v>99</v>
      </c>
      <c r="AG60" s="4">
        <v>12</v>
      </c>
      <c r="AH60" s="4">
        <v>0.95299999999999996</v>
      </c>
      <c r="AI60" s="4" t="s">
        <v>811</v>
      </c>
      <c r="AJ60" s="4">
        <v>0.45800000000000002</v>
      </c>
      <c r="AK60" s="4" t="s">
        <v>812</v>
      </c>
      <c r="AL60" s="6"/>
    </row>
    <row r="61" spans="1:39" x14ac:dyDescent="0.3">
      <c r="A61" s="4" t="s">
        <v>813</v>
      </c>
      <c r="B61" s="4" t="s">
        <v>40</v>
      </c>
      <c r="C61" s="4">
        <f>_xlfn.NUMBERVALUE(_xlfn.TEXTAFTER(TRIM(Table1[[#This Row],[Study]]), " ", -1), ",", ".")</f>
        <v>2019</v>
      </c>
      <c r="D61" s="4" t="s">
        <v>189</v>
      </c>
      <c r="AM61" s="4" t="s">
        <v>814</v>
      </c>
    </row>
    <row r="62" spans="1:39" ht="26" x14ac:dyDescent="0.3">
      <c r="A62" s="4" t="s">
        <v>815</v>
      </c>
      <c r="B62" s="4" t="s">
        <v>40</v>
      </c>
      <c r="C62" s="4">
        <f>_xlfn.NUMBERVALUE(_xlfn.TEXTAFTER(TRIM(Table1[[#This Row],[Study]]), " ", -1), ",", ".")</f>
        <v>2015</v>
      </c>
      <c r="D62" s="4" t="s">
        <v>816</v>
      </c>
      <c r="Z62" s="4" t="s">
        <v>817</v>
      </c>
      <c r="AE62" s="4" t="s">
        <v>818</v>
      </c>
      <c r="AM62" s="4" t="s">
        <v>819</v>
      </c>
    </row>
    <row r="63" spans="1:39" ht="91" x14ac:dyDescent="0.3">
      <c r="A63" s="4" t="s">
        <v>820</v>
      </c>
      <c r="B63" s="4" t="s">
        <v>40</v>
      </c>
      <c r="C63" s="4">
        <f>_xlfn.NUMBERVALUE(_xlfn.TEXTAFTER(TRIM(Table1[[#This Row],[Study]]), " ", -1), ",", ".")</f>
        <v>2021</v>
      </c>
      <c r="D63" s="4" t="s">
        <v>821</v>
      </c>
      <c r="E63" s="6"/>
      <c r="F63" s="4">
        <v>94</v>
      </c>
      <c r="G63" s="4" t="s">
        <v>822</v>
      </c>
      <c r="H63" s="5">
        <v>75.2</v>
      </c>
      <c r="I63" s="4" t="s">
        <v>823</v>
      </c>
      <c r="J63" s="4" t="s">
        <v>44</v>
      </c>
      <c r="K63" s="6"/>
      <c r="L63" s="4" t="s">
        <v>824</v>
      </c>
      <c r="M63" s="6"/>
      <c r="Z63" s="4" t="s">
        <v>220</v>
      </c>
      <c r="AA63" s="6"/>
      <c r="AB63" s="6"/>
      <c r="AC63" s="6"/>
      <c r="AE63" s="4" t="s">
        <v>222</v>
      </c>
      <c r="AF63" s="6"/>
      <c r="AG63" s="6"/>
      <c r="AH63" s="6"/>
      <c r="AJ63" s="6"/>
      <c r="AM63" s="4" t="s">
        <v>825</v>
      </c>
    </row>
    <row r="64" spans="1:39" ht="91" x14ac:dyDescent="0.3">
      <c r="A64" s="4" t="s">
        <v>826</v>
      </c>
      <c r="B64" s="4" t="s">
        <v>64</v>
      </c>
      <c r="C64" s="4">
        <f>_xlfn.NUMBERVALUE(_xlfn.TEXTAFTER(TRIM(Table1[[#This Row],[Study]]), " ", -1), ",", ".")</f>
        <v>2019</v>
      </c>
      <c r="D64" s="4" t="s">
        <v>827</v>
      </c>
      <c r="E64" s="6"/>
      <c r="F64" s="4">
        <v>70</v>
      </c>
      <c r="G64" s="4" t="s">
        <v>828</v>
      </c>
      <c r="H64" s="5">
        <v>56</v>
      </c>
      <c r="I64" s="4" t="s">
        <v>829</v>
      </c>
      <c r="J64" s="4" t="s">
        <v>44</v>
      </c>
      <c r="K64" s="6"/>
      <c r="L64" s="4" t="s">
        <v>830</v>
      </c>
      <c r="M64" s="6"/>
      <c r="N64" s="4" t="s">
        <v>358</v>
      </c>
      <c r="O64" s="4">
        <v>2016</v>
      </c>
      <c r="P64" s="4" t="s">
        <v>831</v>
      </c>
      <c r="Q64" s="4" t="s">
        <v>797</v>
      </c>
      <c r="R64" s="4" t="s">
        <v>832</v>
      </c>
      <c r="S64" s="4" t="s">
        <v>94</v>
      </c>
      <c r="U64" s="4" t="s">
        <v>833</v>
      </c>
      <c r="V64" s="4" t="s">
        <v>75</v>
      </c>
      <c r="X64" s="4" t="s">
        <v>77</v>
      </c>
      <c r="Z64" s="4" t="s">
        <v>220</v>
      </c>
      <c r="AA64" s="4">
        <v>9</v>
      </c>
      <c r="AB64" s="4" t="s">
        <v>346</v>
      </c>
      <c r="AC64" s="4">
        <v>0.6</v>
      </c>
      <c r="AD64" s="4" t="s">
        <v>834</v>
      </c>
      <c r="AE64" s="4" t="s">
        <v>222</v>
      </c>
      <c r="AF64" s="4" t="s">
        <v>56</v>
      </c>
      <c r="AG64" s="4">
        <v>3</v>
      </c>
      <c r="AH64" s="4">
        <v>0.6</v>
      </c>
      <c r="AI64" s="4" t="s">
        <v>834</v>
      </c>
      <c r="AJ64" s="4">
        <v>0.152</v>
      </c>
      <c r="AK64" s="4" t="s">
        <v>835</v>
      </c>
      <c r="AL64" s="6"/>
    </row>
    <row r="65" spans="1:39" ht="91" x14ac:dyDescent="0.3">
      <c r="A65" s="4" t="s">
        <v>836</v>
      </c>
      <c r="B65" s="4" t="s">
        <v>64</v>
      </c>
      <c r="C65" s="4">
        <f>_xlfn.NUMBERVALUE(_xlfn.TEXTAFTER(TRIM(Table1[[#This Row],[Study]]), " ", -1), ",", ".")</f>
        <v>2013</v>
      </c>
      <c r="D65" s="4" t="s">
        <v>837</v>
      </c>
      <c r="E65" s="4">
        <v>91</v>
      </c>
      <c r="F65" s="4">
        <v>285</v>
      </c>
      <c r="G65" s="4" t="s">
        <v>838</v>
      </c>
      <c r="H65" s="5">
        <v>19</v>
      </c>
      <c r="I65" s="4" t="s">
        <v>839</v>
      </c>
      <c r="J65" s="4" t="s">
        <v>44</v>
      </c>
      <c r="K65" s="4">
        <v>17.3</v>
      </c>
      <c r="M65" s="4">
        <v>3.16</v>
      </c>
      <c r="O65" s="4">
        <v>2007</v>
      </c>
      <c r="P65" s="4" t="s">
        <v>840</v>
      </c>
      <c r="Q65" s="4" t="s">
        <v>841</v>
      </c>
      <c r="S65" s="4" t="s">
        <v>73</v>
      </c>
      <c r="V65" s="4" t="s">
        <v>51</v>
      </c>
      <c r="X65" s="4" t="s">
        <v>77</v>
      </c>
      <c r="Z65" s="4" t="s">
        <v>163</v>
      </c>
      <c r="AA65" s="4">
        <v>15</v>
      </c>
      <c r="AB65" s="4" t="s">
        <v>99</v>
      </c>
      <c r="AC65" s="4">
        <v>0.83</v>
      </c>
      <c r="AD65" s="4" t="s">
        <v>842</v>
      </c>
      <c r="AE65" s="4" t="s">
        <v>843</v>
      </c>
      <c r="AF65" s="4" t="s">
        <v>99</v>
      </c>
      <c r="AG65" s="4">
        <v>3</v>
      </c>
      <c r="AH65" s="6"/>
      <c r="AI65" s="4" t="s">
        <v>844</v>
      </c>
      <c r="AJ65" s="4">
        <v>0.32300000000000001</v>
      </c>
      <c r="AK65" s="4" t="s">
        <v>845</v>
      </c>
      <c r="AL65" s="4" t="s">
        <v>846</v>
      </c>
    </row>
    <row r="66" spans="1:39" ht="117" x14ac:dyDescent="0.3">
      <c r="A66" s="4" t="s">
        <v>847</v>
      </c>
      <c r="B66" s="4" t="s">
        <v>40</v>
      </c>
      <c r="C66" s="4">
        <f>_xlfn.NUMBERVALUE(_xlfn.TEXTAFTER(TRIM(Table1[[#This Row],[Study]]), " ", -1), ",", ".")</f>
        <v>2009</v>
      </c>
      <c r="D66" s="4" t="s">
        <v>848</v>
      </c>
      <c r="E66" s="4">
        <v>45</v>
      </c>
      <c r="F66" s="4">
        <v>49</v>
      </c>
      <c r="G66" s="4" t="s">
        <v>849</v>
      </c>
      <c r="H66" s="5" t="s">
        <v>850</v>
      </c>
      <c r="I66" s="4" t="s">
        <v>851</v>
      </c>
      <c r="J66" s="4" t="s">
        <v>126</v>
      </c>
      <c r="K66" s="4">
        <v>122.41</v>
      </c>
      <c r="L66" s="4" t="s">
        <v>852</v>
      </c>
      <c r="M66" s="4">
        <v>19.59</v>
      </c>
      <c r="N66" s="4" t="s">
        <v>853</v>
      </c>
      <c r="O66" s="4">
        <v>2008</v>
      </c>
      <c r="P66" s="4" t="s">
        <v>854</v>
      </c>
      <c r="Q66" s="4" t="s">
        <v>202</v>
      </c>
      <c r="S66" s="4" t="s">
        <v>94</v>
      </c>
      <c r="U66" s="4" t="s">
        <v>855</v>
      </c>
      <c r="V66" s="4" t="s">
        <v>75</v>
      </c>
      <c r="W66" s="4" t="s">
        <v>856</v>
      </c>
      <c r="X66" s="4" t="s">
        <v>77</v>
      </c>
      <c r="Y66" s="4" t="s">
        <v>857</v>
      </c>
      <c r="Z66" s="4" t="s">
        <v>297</v>
      </c>
      <c r="AE66" s="4" t="s">
        <v>184</v>
      </c>
      <c r="AM66" s="4" t="s">
        <v>858</v>
      </c>
    </row>
    <row r="67" spans="1:39" ht="104" x14ac:dyDescent="0.3">
      <c r="A67" s="4" t="s">
        <v>859</v>
      </c>
      <c r="B67" s="4" t="s">
        <v>64</v>
      </c>
      <c r="C67" s="4">
        <f>_xlfn.NUMBERVALUE(_xlfn.TEXTAFTER(TRIM(Table1[[#This Row],[Study]]), " ", -1), ",", ".")</f>
        <v>2020</v>
      </c>
      <c r="D67" s="4" t="s">
        <v>860</v>
      </c>
      <c r="E67" s="4">
        <v>97</v>
      </c>
      <c r="F67" s="4">
        <v>211</v>
      </c>
      <c r="H67" s="5">
        <v>0.21099999999999999</v>
      </c>
      <c r="I67" s="11"/>
      <c r="J67" s="4" t="s">
        <v>44</v>
      </c>
      <c r="K67" s="6"/>
      <c r="L67" s="4" t="s">
        <v>861</v>
      </c>
      <c r="M67" s="6"/>
      <c r="N67" s="4" t="s">
        <v>862</v>
      </c>
      <c r="O67" s="4">
        <v>2018</v>
      </c>
      <c r="P67" s="4" t="s">
        <v>112</v>
      </c>
      <c r="Q67" s="4" t="s">
        <v>202</v>
      </c>
      <c r="S67" s="4" t="s">
        <v>94</v>
      </c>
      <c r="U67" s="4" t="s">
        <v>863</v>
      </c>
      <c r="V67" s="4" t="s">
        <v>75</v>
      </c>
      <c r="W67" s="4" t="s">
        <v>864</v>
      </c>
      <c r="X67" s="4" t="s">
        <v>77</v>
      </c>
      <c r="Z67" s="4" t="s">
        <v>602</v>
      </c>
      <c r="AA67" s="4">
        <v>19</v>
      </c>
      <c r="AB67" s="4" t="s">
        <v>56</v>
      </c>
      <c r="AC67" s="4">
        <v>0.83199999999999996</v>
      </c>
      <c r="AD67" s="4" t="s">
        <v>865</v>
      </c>
      <c r="AE67" s="4" t="s">
        <v>866</v>
      </c>
      <c r="AF67" s="4" t="s">
        <v>56</v>
      </c>
      <c r="AG67" s="4">
        <v>12</v>
      </c>
      <c r="AH67" s="4">
        <v>0.77</v>
      </c>
      <c r="AI67" s="4" t="s">
        <v>867</v>
      </c>
      <c r="AJ67" s="4">
        <v>0.20799999999999999</v>
      </c>
      <c r="AK67" s="4" t="s">
        <v>868</v>
      </c>
      <c r="AL67" s="4" t="s">
        <v>869</v>
      </c>
      <c r="AM67" s="4" t="s">
        <v>870</v>
      </c>
    </row>
    <row r="68" spans="1:39" ht="65" x14ac:dyDescent="0.3">
      <c r="A68" s="4" t="s">
        <v>871</v>
      </c>
      <c r="B68" s="4" t="s">
        <v>64</v>
      </c>
      <c r="C68" s="4">
        <f>_xlfn.NUMBERVALUE(_xlfn.TEXTAFTER(TRIM(Table1[[#This Row],[Study]]), " ", -1), ",", ".")</f>
        <v>2020</v>
      </c>
      <c r="D68" s="4" t="s">
        <v>872</v>
      </c>
      <c r="E68" s="4">
        <v>46</v>
      </c>
      <c r="F68" s="4">
        <v>120</v>
      </c>
      <c r="H68" s="5" t="s">
        <v>873</v>
      </c>
      <c r="I68" s="4" t="s">
        <v>874</v>
      </c>
      <c r="J68" s="4" t="s">
        <v>44</v>
      </c>
      <c r="K68" s="4">
        <v>43.8</v>
      </c>
      <c r="L68" s="4" t="s">
        <v>875</v>
      </c>
      <c r="M68" s="4">
        <v>4.29</v>
      </c>
      <c r="N68" s="4" t="s">
        <v>876</v>
      </c>
      <c r="O68" s="4">
        <v>2018</v>
      </c>
      <c r="P68" s="4" t="s">
        <v>112</v>
      </c>
      <c r="Q68" s="4" t="s">
        <v>440</v>
      </c>
      <c r="S68" s="4" t="s">
        <v>94</v>
      </c>
      <c r="U68" s="4" t="s">
        <v>877</v>
      </c>
      <c r="V68" s="4" t="s">
        <v>51</v>
      </c>
      <c r="W68" s="4" t="s">
        <v>878</v>
      </c>
      <c r="X68" s="4" t="s">
        <v>77</v>
      </c>
      <c r="Z68" s="4" t="s">
        <v>117</v>
      </c>
      <c r="AA68" s="4">
        <v>5</v>
      </c>
      <c r="AB68" s="4" t="s">
        <v>56</v>
      </c>
      <c r="AC68" s="4">
        <v>0.71</v>
      </c>
      <c r="AD68" s="4" t="s">
        <v>879</v>
      </c>
      <c r="AE68" s="4" t="s">
        <v>880</v>
      </c>
      <c r="AF68" s="4" t="s">
        <v>56</v>
      </c>
      <c r="AG68" s="4">
        <v>7</v>
      </c>
      <c r="AH68" s="4">
        <v>0.86</v>
      </c>
      <c r="AI68" s="4" t="s">
        <v>881</v>
      </c>
      <c r="AJ68" s="4">
        <v>0.25</v>
      </c>
      <c r="AK68" s="4" t="s">
        <v>386</v>
      </c>
      <c r="AL68" s="19"/>
      <c r="AM68" s="4" t="s">
        <v>882</v>
      </c>
    </row>
    <row r="69" spans="1:39" ht="65" x14ac:dyDescent="0.3">
      <c r="A69" s="4" t="s">
        <v>883</v>
      </c>
      <c r="B69" s="4" t="s">
        <v>40</v>
      </c>
      <c r="C69" s="4">
        <f>_xlfn.NUMBERVALUE(_xlfn.TEXTAFTER(TRIM(Table1[[#This Row],[Study]]), " ", -1), ",", ".")</f>
        <v>2022</v>
      </c>
      <c r="D69" s="4" t="s">
        <v>884</v>
      </c>
      <c r="E69" s="4">
        <v>52</v>
      </c>
      <c r="F69" s="4">
        <v>176</v>
      </c>
      <c r="H69" s="5" t="s">
        <v>885</v>
      </c>
      <c r="I69" s="11"/>
      <c r="J69" s="4" t="s">
        <v>44</v>
      </c>
      <c r="K69" s="4">
        <v>109.09</v>
      </c>
      <c r="L69" s="4" t="s">
        <v>886</v>
      </c>
      <c r="M69" s="6"/>
      <c r="N69" s="4" t="s">
        <v>358</v>
      </c>
      <c r="O69" s="4">
        <v>2020</v>
      </c>
      <c r="P69" s="4" t="s">
        <v>887</v>
      </c>
      <c r="Q69" s="4" t="s">
        <v>767</v>
      </c>
      <c r="S69" s="4" t="s">
        <v>94</v>
      </c>
      <c r="U69" s="4" t="s">
        <v>888</v>
      </c>
      <c r="W69" s="4" t="s">
        <v>889</v>
      </c>
      <c r="X69" s="4" t="s">
        <v>77</v>
      </c>
      <c r="Z69" s="4" t="s">
        <v>117</v>
      </c>
      <c r="AA69" s="4">
        <v>9</v>
      </c>
      <c r="AB69" s="4" t="s">
        <v>56</v>
      </c>
      <c r="AC69" s="4">
        <v>0.92</v>
      </c>
      <c r="AD69" s="4" t="s">
        <v>890</v>
      </c>
      <c r="AE69" s="4" t="s">
        <v>891</v>
      </c>
      <c r="AF69" s="4" t="s">
        <v>56</v>
      </c>
      <c r="AG69" s="4">
        <v>8</v>
      </c>
      <c r="AH69" s="4">
        <v>0.93</v>
      </c>
      <c r="AI69" s="4" t="s">
        <v>892</v>
      </c>
      <c r="AJ69" s="4" t="s">
        <v>893</v>
      </c>
      <c r="AL69" s="4" t="s">
        <v>894</v>
      </c>
      <c r="AM69" s="4" t="s">
        <v>895</v>
      </c>
    </row>
    <row r="70" spans="1:39" ht="91" x14ac:dyDescent="0.3">
      <c r="A70" s="4" t="s">
        <v>896</v>
      </c>
      <c r="B70" s="4" t="s">
        <v>40</v>
      </c>
      <c r="C70" s="4">
        <f>_xlfn.NUMBERVALUE(_xlfn.TEXTAFTER(TRIM(Table1[[#This Row],[Study]]), " ", -1), ",", ".")</f>
        <v>2018</v>
      </c>
      <c r="D70" s="4" t="s">
        <v>897</v>
      </c>
      <c r="F70" s="4">
        <v>302</v>
      </c>
      <c r="H70" s="5" t="s">
        <v>898</v>
      </c>
      <c r="I70" s="4" t="s">
        <v>899</v>
      </c>
      <c r="J70" s="4" t="s">
        <v>44</v>
      </c>
      <c r="L70" s="4" t="s">
        <v>900</v>
      </c>
      <c r="Q70" s="4" t="s">
        <v>235</v>
      </c>
      <c r="S70" s="4" t="s">
        <v>94</v>
      </c>
      <c r="U70" s="4" t="s">
        <v>901</v>
      </c>
      <c r="W70" s="4" t="s">
        <v>902</v>
      </c>
      <c r="X70" s="4" t="s">
        <v>53</v>
      </c>
      <c r="Z70" s="4" t="s">
        <v>903</v>
      </c>
      <c r="AA70" s="4">
        <v>26</v>
      </c>
      <c r="AC70" s="4" t="s">
        <v>904</v>
      </c>
      <c r="AE70" s="4" t="s">
        <v>905</v>
      </c>
      <c r="AG70" s="4">
        <v>3</v>
      </c>
      <c r="AH70" s="4">
        <v>0.89400000000000002</v>
      </c>
      <c r="AI70" s="4" t="s">
        <v>906</v>
      </c>
      <c r="AJ70" s="4" t="s">
        <v>907</v>
      </c>
      <c r="AL70" s="4" t="s">
        <v>908</v>
      </c>
      <c r="AM70" s="4" t="s">
        <v>909</v>
      </c>
    </row>
    <row r="71" spans="1:39" ht="78" x14ac:dyDescent="0.3">
      <c r="A71" s="4" t="s">
        <v>910</v>
      </c>
      <c r="B71" s="4" t="s">
        <v>40</v>
      </c>
      <c r="C71" s="4">
        <f>_xlfn.NUMBERVALUE(_xlfn.TEXTAFTER(TRIM(Table1[[#This Row],[Study]]), " ", -1), ",", ".")</f>
        <v>2022</v>
      </c>
      <c r="D71" s="4" t="s">
        <v>860</v>
      </c>
      <c r="E71" s="4">
        <v>97</v>
      </c>
      <c r="F71" s="4">
        <v>212</v>
      </c>
      <c r="H71" s="5" t="s">
        <v>911</v>
      </c>
      <c r="I71" s="11"/>
      <c r="J71" s="4" t="s">
        <v>44</v>
      </c>
      <c r="L71" s="4" t="s">
        <v>912</v>
      </c>
      <c r="O71" s="4" t="s">
        <v>913</v>
      </c>
      <c r="Q71" s="4" t="s">
        <v>235</v>
      </c>
      <c r="S71" s="4" t="s">
        <v>94</v>
      </c>
      <c r="U71" s="4" t="s">
        <v>914</v>
      </c>
      <c r="W71" s="4" t="s">
        <v>915</v>
      </c>
      <c r="X71" s="4" t="s">
        <v>77</v>
      </c>
      <c r="Z71" s="4" t="s">
        <v>916</v>
      </c>
      <c r="AA71" s="4">
        <v>19</v>
      </c>
      <c r="AC71" s="4" t="s">
        <v>917</v>
      </c>
      <c r="AF71" s="4" t="s">
        <v>918</v>
      </c>
      <c r="AG71" s="4">
        <v>6</v>
      </c>
      <c r="AH71" s="4">
        <v>0.89400000000000002</v>
      </c>
      <c r="AI71" s="4" t="s">
        <v>919</v>
      </c>
      <c r="AJ71" s="4" t="s">
        <v>920</v>
      </c>
      <c r="AM71" s="4" t="s">
        <v>921</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F671-17C6-4CFB-B8B4-E8A0AAFA7AB4}">
  <dimension ref="A1:Y44"/>
  <sheetViews>
    <sheetView tabSelected="1" zoomScaleNormal="70" workbookViewId="0">
      <pane ySplit="1" topLeftCell="A2" activePane="bottomLeft" state="frozen"/>
      <selection pane="bottomLeft" activeCell="F47" sqref="F47"/>
    </sheetView>
  </sheetViews>
  <sheetFormatPr defaultColWidth="8.8984375" defaultRowHeight="13" x14ac:dyDescent="0.3"/>
  <cols>
    <col min="1" max="1" width="23.3984375" style="18" bestFit="1" customWidth="1"/>
    <col min="2" max="2" width="7.8984375" style="18" bestFit="1" customWidth="1"/>
    <col min="3" max="3" width="29.3984375" style="18" customWidth="1"/>
    <col min="4" max="4" width="11.8984375" style="18" customWidth="1"/>
    <col min="5" max="5" width="9.59765625" style="18" customWidth="1"/>
    <col min="6" max="6" width="11.8984375" style="18" customWidth="1"/>
    <col min="7" max="7" width="12.8984375" style="18" customWidth="1"/>
    <col min="8" max="8" width="13.8984375" style="18" customWidth="1"/>
    <col min="9" max="9" width="14.8984375" style="18" customWidth="1"/>
    <col min="10" max="10" width="9.09765625" style="18" customWidth="1"/>
    <col min="11" max="11" width="14.3984375" style="18" bestFit="1" customWidth="1"/>
    <col min="12" max="12" width="13.09765625" style="18" bestFit="1" customWidth="1"/>
    <col min="13" max="14" width="13.09765625" style="18" customWidth="1"/>
    <col min="15" max="15" width="18.59765625" style="18" bestFit="1" customWidth="1"/>
    <col min="16" max="16" width="17.3984375" style="18" customWidth="1"/>
    <col min="17" max="17" width="13.8984375" style="18" customWidth="1"/>
    <col min="18" max="18" width="16" style="18" customWidth="1"/>
    <col min="19" max="19" width="12.8984375" style="18" customWidth="1"/>
    <col min="20" max="20" width="20.59765625" style="18" bestFit="1" customWidth="1"/>
    <col min="21" max="21" width="12.8984375" style="18" customWidth="1"/>
    <col min="22" max="22" width="13.09765625" style="18" customWidth="1"/>
    <col min="23" max="23" width="12.8984375" style="18" customWidth="1"/>
    <col min="24" max="24" width="14" style="18" customWidth="1"/>
    <col min="25" max="16384" width="8.8984375" style="18"/>
  </cols>
  <sheetData>
    <row r="1" spans="1:25" ht="39.65" customHeight="1" x14ac:dyDescent="0.3">
      <c r="A1" s="17" t="s">
        <v>0</v>
      </c>
      <c r="B1" s="17" t="s">
        <v>2</v>
      </c>
      <c r="C1" s="17" t="s">
        <v>3</v>
      </c>
      <c r="D1" s="17" t="s">
        <v>4</v>
      </c>
      <c r="E1" s="17" t="s">
        <v>5</v>
      </c>
      <c r="F1" s="17" t="s">
        <v>7</v>
      </c>
      <c r="G1" s="17" t="s">
        <v>9</v>
      </c>
      <c r="H1" s="17" t="s">
        <v>10</v>
      </c>
      <c r="I1" s="17" t="s">
        <v>12</v>
      </c>
      <c r="J1" s="17" t="s">
        <v>14</v>
      </c>
      <c r="K1" s="17" t="s">
        <v>16</v>
      </c>
      <c r="L1" s="17" t="s">
        <v>18</v>
      </c>
      <c r="M1" s="17" t="s">
        <v>922</v>
      </c>
      <c r="N1" s="17" t="s">
        <v>923</v>
      </c>
      <c r="O1" s="17" t="s">
        <v>21</v>
      </c>
      <c r="P1" s="17" t="s">
        <v>25</v>
      </c>
      <c r="Q1" s="17" t="s">
        <v>26</v>
      </c>
      <c r="R1" s="17" t="s">
        <v>27</v>
      </c>
      <c r="S1" s="17" t="s">
        <v>28</v>
      </c>
      <c r="T1" s="17" t="s">
        <v>30</v>
      </c>
      <c r="U1" s="17" t="s">
        <v>31</v>
      </c>
      <c r="V1" s="17" t="s">
        <v>32</v>
      </c>
      <c r="W1" s="17" t="s">
        <v>33</v>
      </c>
      <c r="X1" s="17" t="s">
        <v>35</v>
      </c>
      <c r="Y1" s="17" t="s">
        <v>924</v>
      </c>
    </row>
    <row r="2" spans="1:25" ht="26" x14ac:dyDescent="0.3">
      <c r="A2" s="17" t="s">
        <v>63</v>
      </c>
      <c r="B2" s="23">
        <v>2013</v>
      </c>
      <c r="C2" s="17" t="s">
        <v>65</v>
      </c>
      <c r="D2" s="20">
        <v>46</v>
      </c>
      <c r="E2" s="20">
        <v>182</v>
      </c>
      <c r="F2" s="20">
        <v>50</v>
      </c>
      <c r="G2" s="17" t="s">
        <v>68</v>
      </c>
      <c r="H2" s="21">
        <v>68.208545454545444</v>
      </c>
      <c r="I2" s="21">
        <v>18.364705882352943</v>
      </c>
      <c r="J2" s="23">
        <v>2004</v>
      </c>
      <c r="K2" s="17" t="s">
        <v>71</v>
      </c>
      <c r="L2" s="17" t="s">
        <v>73</v>
      </c>
      <c r="M2" s="20">
        <v>56</v>
      </c>
      <c r="N2" s="20">
        <v>80.5</v>
      </c>
      <c r="O2" s="22" t="s">
        <v>75</v>
      </c>
      <c r="P2" s="22" t="s">
        <v>79</v>
      </c>
      <c r="Q2" s="20">
        <v>14</v>
      </c>
      <c r="R2" s="22" t="s">
        <v>346</v>
      </c>
      <c r="S2" s="20">
        <v>0.79400000000000004</v>
      </c>
      <c r="T2" s="22" t="s">
        <v>81</v>
      </c>
      <c r="U2" s="22" t="s">
        <v>346</v>
      </c>
      <c r="V2" s="20">
        <v>2</v>
      </c>
      <c r="W2" s="20">
        <v>0.93</v>
      </c>
      <c r="X2" s="20">
        <v>0.3</v>
      </c>
      <c r="Y2" s="21">
        <f t="shared" ref="Y2:Y40" si="0">X2/SQRT(W2*S2)</f>
        <v>0.34911582011474618</v>
      </c>
    </row>
    <row r="3" spans="1:25" ht="26" x14ac:dyDescent="0.3">
      <c r="A3" s="17" t="s">
        <v>85</v>
      </c>
      <c r="B3" s="23">
        <v>2020</v>
      </c>
      <c r="C3" s="17" t="s">
        <v>86</v>
      </c>
      <c r="D3" s="20">
        <v>71</v>
      </c>
      <c r="E3" s="20">
        <v>163</v>
      </c>
      <c r="F3" s="20">
        <v>57.2</v>
      </c>
      <c r="G3" s="17" t="s">
        <v>44</v>
      </c>
      <c r="H3" s="20">
        <v>132.88</v>
      </c>
      <c r="I3" s="20">
        <v>34.1</v>
      </c>
      <c r="J3" s="23">
        <v>2019</v>
      </c>
      <c r="K3" s="17" t="s">
        <v>92</v>
      </c>
      <c r="L3" s="17" t="s">
        <v>94</v>
      </c>
      <c r="M3" s="20">
        <v>43</v>
      </c>
      <c r="N3" s="20">
        <v>64</v>
      </c>
      <c r="O3" s="22" t="s">
        <v>51</v>
      </c>
      <c r="P3" s="22" t="s">
        <v>925</v>
      </c>
      <c r="Q3" s="20">
        <v>12</v>
      </c>
      <c r="R3" s="22" t="s">
        <v>591</v>
      </c>
      <c r="S3" s="20">
        <v>0.71</v>
      </c>
      <c r="T3" s="22" t="s">
        <v>926</v>
      </c>
      <c r="U3" s="22" t="s">
        <v>346</v>
      </c>
      <c r="V3" s="20">
        <v>3</v>
      </c>
      <c r="W3" s="20">
        <v>0.78</v>
      </c>
      <c r="X3" s="20">
        <v>0.39</v>
      </c>
      <c r="Y3" s="21">
        <f t="shared" si="0"/>
        <v>0.52406859028560726</v>
      </c>
    </row>
    <row r="4" spans="1:25" ht="26" x14ac:dyDescent="0.3">
      <c r="A4" s="17" t="s">
        <v>106</v>
      </c>
      <c r="B4" s="23">
        <v>2022</v>
      </c>
      <c r="C4" s="17" t="s">
        <v>107</v>
      </c>
      <c r="D4" s="21">
        <v>54.608695652173914</v>
      </c>
      <c r="E4" s="20">
        <v>366</v>
      </c>
      <c r="F4" s="24">
        <v>33.492366666666662</v>
      </c>
      <c r="G4" s="17" t="s">
        <v>44</v>
      </c>
      <c r="H4" s="21">
        <v>68.208545454545444</v>
      </c>
      <c r="I4" s="20">
        <v>7.6</v>
      </c>
      <c r="J4" s="23">
        <v>2022</v>
      </c>
      <c r="K4" s="17" t="s">
        <v>92</v>
      </c>
      <c r="L4" s="17" t="s">
        <v>94</v>
      </c>
      <c r="M4" s="20">
        <v>43</v>
      </c>
      <c r="N4" s="20">
        <v>64</v>
      </c>
      <c r="O4" s="22" t="s">
        <v>51</v>
      </c>
      <c r="P4" s="22" t="s">
        <v>117</v>
      </c>
      <c r="Q4" s="20">
        <v>7</v>
      </c>
      <c r="R4" s="22" t="s">
        <v>346</v>
      </c>
      <c r="S4" s="20">
        <v>0.79</v>
      </c>
      <c r="T4" s="22" t="s">
        <v>119</v>
      </c>
      <c r="U4" s="22" t="s">
        <v>346</v>
      </c>
      <c r="V4" s="20">
        <v>11</v>
      </c>
      <c r="W4" s="20">
        <v>0.93</v>
      </c>
      <c r="X4" s="20">
        <v>0.57799999999999996</v>
      </c>
      <c r="Y4" s="21">
        <f t="shared" si="0"/>
        <v>0.67433052362867174</v>
      </c>
    </row>
    <row r="5" spans="1:25" ht="26" x14ac:dyDescent="0.3">
      <c r="A5" s="17" t="s">
        <v>123</v>
      </c>
      <c r="B5" s="23">
        <v>2016</v>
      </c>
      <c r="C5" s="17" t="s">
        <v>65</v>
      </c>
      <c r="D5" s="20">
        <v>46</v>
      </c>
      <c r="E5" s="20">
        <v>350</v>
      </c>
      <c r="F5" s="20">
        <v>87.5</v>
      </c>
      <c r="G5" s="17" t="s">
        <v>126</v>
      </c>
      <c r="H5" s="20">
        <v>10.7</v>
      </c>
      <c r="I5" s="20">
        <v>10</v>
      </c>
      <c r="J5" s="23">
        <v>2011</v>
      </c>
      <c r="K5" s="17" t="s">
        <v>130</v>
      </c>
      <c r="L5" s="17" t="s">
        <v>73</v>
      </c>
      <c r="M5" s="21">
        <v>48.256756756756751</v>
      </c>
      <c r="N5" s="21">
        <v>64.662162162162161</v>
      </c>
      <c r="O5" s="22" t="s">
        <v>133</v>
      </c>
      <c r="P5" s="22" t="s">
        <v>136</v>
      </c>
      <c r="Q5" s="20">
        <v>13</v>
      </c>
      <c r="R5" s="22" t="s">
        <v>346</v>
      </c>
      <c r="S5" s="20">
        <v>0.88</v>
      </c>
      <c r="T5" s="22" t="s">
        <v>138</v>
      </c>
      <c r="U5" s="22" t="s">
        <v>591</v>
      </c>
      <c r="V5" s="20">
        <v>3</v>
      </c>
      <c r="W5" s="20">
        <v>0.7</v>
      </c>
      <c r="X5" s="20">
        <v>5.2999999999999999E-2</v>
      </c>
      <c r="Y5" s="21">
        <f t="shared" si="0"/>
        <v>6.7528252865485375E-2</v>
      </c>
    </row>
    <row r="6" spans="1:25" ht="26" x14ac:dyDescent="0.3">
      <c r="A6" s="17" t="s">
        <v>142</v>
      </c>
      <c r="B6" s="23">
        <v>2008</v>
      </c>
      <c r="C6" s="17" t="s">
        <v>65</v>
      </c>
      <c r="D6" s="20">
        <v>46</v>
      </c>
      <c r="E6" s="20">
        <v>112</v>
      </c>
      <c r="F6" s="20">
        <v>7.5</v>
      </c>
      <c r="G6" s="17" t="s">
        <v>44</v>
      </c>
      <c r="H6" s="21">
        <v>68.208545454545444</v>
      </c>
      <c r="I6" s="21">
        <v>18.364705882352943</v>
      </c>
      <c r="J6" s="23">
        <v>2003</v>
      </c>
      <c r="K6" s="17" t="s">
        <v>147</v>
      </c>
      <c r="L6" s="17" t="s">
        <v>73</v>
      </c>
      <c r="M6" s="20">
        <v>42</v>
      </c>
      <c r="N6" s="20">
        <v>86</v>
      </c>
      <c r="O6" s="22" t="s">
        <v>75</v>
      </c>
      <c r="P6" s="22" t="s">
        <v>151</v>
      </c>
      <c r="Q6" s="20">
        <v>5</v>
      </c>
      <c r="R6" s="22" t="s">
        <v>346</v>
      </c>
      <c r="S6" s="20">
        <v>0.92</v>
      </c>
      <c r="T6" s="22" t="s">
        <v>153</v>
      </c>
      <c r="U6" s="22" t="s">
        <v>346</v>
      </c>
      <c r="V6" s="20">
        <v>5</v>
      </c>
      <c r="W6" s="20">
        <v>0.76500000000000001</v>
      </c>
      <c r="X6" s="20">
        <v>0.74</v>
      </c>
      <c r="Y6" s="21">
        <f t="shared" si="0"/>
        <v>0.88207819915098684</v>
      </c>
    </row>
    <row r="7" spans="1:25" ht="26" x14ac:dyDescent="0.3">
      <c r="A7" s="17" t="s">
        <v>199</v>
      </c>
      <c r="B7" s="23">
        <v>2009</v>
      </c>
      <c r="C7" s="17" t="s">
        <v>86</v>
      </c>
      <c r="D7" s="20">
        <v>71</v>
      </c>
      <c r="E7" s="20">
        <v>106</v>
      </c>
      <c r="F7" s="20">
        <v>21.2</v>
      </c>
      <c r="G7" s="17" t="s">
        <v>44</v>
      </c>
      <c r="H7" s="21">
        <v>68.208545454545444</v>
      </c>
      <c r="I7" s="21">
        <v>18.364705882352943</v>
      </c>
      <c r="J7" s="23">
        <v>2006</v>
      </c>
      <c r="K7" s="17" t="s">
        <v>202</v>
      </c>
      <c r="L7" s="17" t="s">
        <v>94</v>
      </c>
      <c r="M7" s="20">
        <v>45</v>
      </c>
      <c r="N7" s="20">
        <v>69</v>
      </c>
      <c r="O7" s="22" t="s">
        <v>75</v>
      </c>
      <c r="P7" s="22" t="s">
        <v>117</v>
      </c>
      <c r="Q7" s="20">
        <v>3</v>
      </c>
      <c r="R7" s="22" t="s">
        <v>346</v>
      </c>
      <c r="S7" s="20">
        <v>0.79800000000000004</v>
      </c>
      <c r="T7" s="22" t="s">
        <v>206</v>
      </c>
      <c r="U7" s="22" t="s">
        <v>346</v>
      </c>
      <c r="V7" s="20">
        <v>4</v>
      </c>
      <c r="W7" s="20">
        <v>0.81399999999999995</v>
      </c>
      <c r="X7" s="20">
        <v>0.51</v>
      </c>
      <c r="Y7" s="21">
        <f t="shared" si="0"/>
        <v>0.63278551317224663</v>
      </c>
    </row>
    <row r="8" spans="1:25" ht="26" x14ac:dyDescent="0.3">
      <c r="A8" s="17" t="s">
        <v>210</v>
      </c>
      <c r="B8" s="23">
        <v>2015</v>
      </c>
      <c r="C8" s="17" t="s">
        <v>211</v>
      </c>
      <c r="D8" s="21">
        <v>54.608695652173914</v>
      </c>
      <c r="E8" s="20">
        <v>311</v>
      </c>
      <c r="F8" s="24">
        <v>33.492366666666662</v>
      </c>
      <c r="G8" s="17" t="s">
        <v>126</v>
      </c>
      <c r="H8" s="20">
        <v>14.2</v>
      </c>
      <c r="I8" s="20" t="s">
        <v>215</v>
      </c>
      <c r="J8" s="23">
        <v>2007</v>
      </c>
      <c r="K8" s="17" t="s">
        <v>217</v>
      </c>
      <c r="L8" s="17" t="s">
        <v>73</v>
      </c>
      <c r="M8" s="20">
        <v>70</v>
      </c>
      <c r="N8" s="20">
        <v>75</v>
      </c>
      <c r="O8" s="22" t="s">
        <v>51</v>
      </c>
      <c r="P8" s="22" t="s">
        <v>220</v>
      </c>
      <c r="Q8" s="20">
        <v>2</v>
      </c>
      <c r="R8" s="22" t="s">
        <v>591</v>
      </c>
      <c r="S8" s="20">
        <v>0.77</v>
      </c>
      <c r="T8" s="22" t="s">
        <v>222</v>
      </c>
      <c r="U8" s="22" t="s">
        <v>591</v>
      </c>
      <c r="V8" s="20">
        <v>1</v>
      </c>
      <c r="W8" s="21">
        <v>0.85372727272727278</v>
      </c>
      <c r="X8" s="20">
        <v>0.38500000000000001</v>
      </c>
      <c r="Y8" s="21">
        <f t="shared" si="0"/>
        <v>0.47484928589925129</v>
      </c>
    </row>
    <row r="9" spans="1:25" ht="26" x14ac:dyDescent="0.3">
      <c r="A9" s="17" t="s">
        <v>226</v>
      </c>
      <c r="B9" s="23">
        <v>2023</v>
      </c>
      <c r="C9" s="17" t="s">
        <v>227</v>
      </c>
      <c r="D9" s="20">
        <v>61</v>
      </c>
      <c r="E9" s="20">
        <v>189</v>
      </c>
      <c r="F9" s="20">
        <v>18.899999999999999</v>
      </c>
      <c r="G9" s="17" t="s">
        <v>44</v>
      </c>
      <c r="H9" s="20">
        <v>222.96799999999999</v>
      </c>
      <c r="I9" s="20" t="s">
        <v>231</v>
      </c>
      <c r="J9" s="23">
        <v>2022</v>
      </c>
      <c r="K9" s="17" t="s">
        <v>235</v>
      </c>
      <c r="L9" s="17" t="s">
        <v>94</v>
      </c>
      <c r="M9" s="20">
        <v>66</v>
      </c>
      <c r="N9" s="20">
        <v>30</v>
      </c>
      <c r="O9" s="22" t="s">
        <v>133</v>
      </c>
      <c r="P9" s="22" t="s">
        <v>117</v>
      </c>
      <c r="Q9" s="20">
        <v>6</v>
      </c>
      <c r="R9" s="22" t="s">
        <v>346</v>
      </c>
      <c r="S9" s="20">
        <v>0.86299999999999999</v>
      </c>
      <c r="T9" s="22" t="s">
        <v>240</v>
      </c>
      <c r="U9" s="22" t="s">
        <v>346</v>
      </c>
      <c r="V9" s="20">
        <v>4</v>
      </c>
      <c r="W9" s="20">
        <v>0.88100000000000001</v>
      </c>
      <c r="X9" s="20">
        <v>0.59499999999999997</v>
      </c>
      <c r="Y9" s="21">
        <f t="shared" si="0"/>
        <v>0.68237579559242256</v>
      </c>
    </row>
    <row r="10" spans="1:25" ht="26" x14ac:dyDescent="0.3">
      <c r="A10" s="17" t="s">
        <v>243</v>
      </c>
      <c r="B10" s="23">
        <v>2019</v>
      </c>
      <c r="C10" s="17" t="s">
        <v>227</v>
      </c>
      <c r="D10" s="20">
        <v>61</v>
      </c>
      <c r="E10" s="20">
        <v>88</v>
      </c>
      <c r="F10" s="20">
        <v>55.3</v>
      </c>
      <c r="G10" s="17" t="s">
        <v>44</v>
      </c>
      <c r="H10" s="20">
        <v>155</v>
      </c>
      <c r="I10" s="21">
        <v>18.364705882352943</v>
      </c>
      <c r="J10" s="23">
        <v>2017</v>
      </c>
      <c r="K10" s="17" t="s">
        <v>217</v>
      </c>
      <c r="L10" s="17" t="s">
        <v>73</v>
      </c>
      <c r="M10" s="20">
        <v>70</v>
      </c>
      <c r="N10" s="20">
        <v>75</v>
      </c>
      <c r="O10" s="22" t="s">
        <v>51</v>
      </c>
      <c r="P10" s="22" t="s">
        <v>250</v>
      </c>
      <c r="Q10" s="20">
        <v>6</v>
      </c>
      <c r="R10" s="22" t="s">
        <v>346</v>
      </c>
      <c r="S10" s="20">
        <v>0.89</v>
      </c>
      <c r="T10" s="22" t="s">
        <v>222</v>
      </c>
      <c r="U10" s="22" t="s">
        <v>346</v>
      </c>
      <c r="V10" s="20">
        <v>4</v>
      </c>
      <c r="W10" s="20">
        <v>0.81</v>
      </c>
      <c r="X10" s="20">
        <v>0.35199999999999998</v>
      </c>
      <c r="Y10" s="21">
        <f t="shared" si="0"/>
        <v>0.41457694862470967</v>
      </c>
    </row>
    <row r="11" spans="1:25" ht="26" x14ac:dyDescent="0.3">
      <c r="A11" s="17" t="s">
        <v>254</v>
      </c>
      <c r="B11" s="23">
        <v>2019</v>
      </c>
      <c r="C11" s="17" t="s">
        <v>255</v>
      </c>
      <c r="D11" s="20">
        <v>38</v>
      </c>
      <c r="E11" s="20">
        <v>222</v>
      </c>
      <c r="F11" s="20">
        <v>88.8</v>
      </c>
      <c r="G11" s="17" t="s">
        <v>44</v>
      </c>
      <c r="H11" s="20">
        <v>52.7</v>
      </c>
      <c r="I11" s="21">
        <v>18.364705882352943</v>
      </c>
      <c r="J11" s="23">
        <v>2012</v>
      </c>
      <c r="K11" s="17" t="s">
        <v>147</v>
      </c>
      <c r="L11" s="17" t="s">
        <v>73</v>
      </c>
      <c r="M11" s="20">
        <v>42</v>
      </c>
      <c r="N11" s="20">
        <v>86</v>
      </c>
      <c r="O11" s="22" t="s">
        <v>75</v>
      </c>
      <c r="P11" s="22" t="s">
        <v>117</v>
      </c>
      <c r="Q11" s="20">
        <v>3</v>
      </c>
      <c r="R11" s="22" t="s">
        <v>346</v>
      </c>
      <c r="S11" s="20">
        <v>0.86</v>
      </c>
      <c r="T11" s="22" t="s">
        <v>266</v>
      </c>
      <c r="U11" s="22" t="s">
        <v>346</v>
      </c>
      <c r="V11" s="20">
        <v>3</v>
      </c>
      <c r="W11" s="20">
        <v>0.87</v>
      </c>
      <c r="X11" s="20">
        <v>0.23</v>
      </c>
      <c r="Y11" s="21">
        <f t="shared" si="0"/>
        <v>0.26590039598077303</v>
      </c>
    </row>
    <row r="12" spans="1:25" ht="26" x14ac:dyDescent="0.3">
      <c r="A12" s="17" t="s">
        <v>272</v>
      </c>
      <c r="B12" s="23">
        <v>2011</v>
      </c>
      <c r="C12" s="17" t="s">
        <v>273</v>
      </c>
      <c r="D12" s="20">
        <v>25</v>
      </c>
      <c r="E12" s="20">
        <v>345</v>
      </c>
      <c r="F12" s="20">
        <v>10.1</v>
      </c>
      <c r="G12" s="17" t="s">
        <v>126</v>
      </c>
      <c r="H12" s="20">
        <v>26</v>
      </c>
      <c r="I12" s="20">
        <v>11</v>
      </c>
      <c r="J12" s="23">
        <v>2008</v>
      </c>
      <c r="K12" s="17" t="s">
        <v>279</v>
      </c>
      <c r="L12" s="17" t="s">
        <v>73</v>
      </c>
      <c r="M12" s="20">
        <v>66</v>
      </c>
      <c r="N12" s="20">
        <v>65</v>
      </c>
      <c r="O12" s="22" t="s">
        <v>51</v>
      </c>
      <c r="P12" s="22" t="s">
        <v>117</v>
      </c>
      <c r="Q12" s="20">
        <v>14</v>
      </c>
      <c r="R12" s="22" t="s">
        <v>346</v>
      </c>
      <c r="S12" s="20">
        <v>0.8</v>
      </c>
      <c r="T12" s="22" t="s">
        <v>81</v>
      </c>
      <c r="U12" s="22" t="s">
        <v>346</v>
      </c>
      <c r="V12" s="20">
        <v>5</v>
      </c>
      <c r="W12" s="20">
        <v>0.9</v>
      </c>
      <c r="X12" s="20">
        <v>0.52</v>
      </c>
      <c r="Y12" s="21">
        <f t="shared" si="0"/>
        <v>0.61282587702834113</v>
      </c>
    </row>
    <row r="13" spans="1:25" ht="26" x14ac:dyDescent="0.3">
      <c r="A13" s="17" t="s">
        <v>335</v>
      </c>
      <c r="B13" s="23">
        <v>2021</v>
      </c>
      <c r="C13" s="17" t="s">
        <v>65</v>
      </c>
      <c r="D13" s="20">
        <v>46</v>
      </c>
      <c r="E13" s="20">
        <v>509</v>
      </c>
      <c r="F13" s="20">
        <v>11.54</v>
      </c>
      <c r="G13" s="17" t="s">
        <v>44</v>
      </c>
      <c r="H13" s="21">
        <v>68.208545454545444</v>
      </c>
      <c r="I13" s="20">
        <v>21.99</v>
      </c>
      <c r="J13" s="23">
        <v>2015</v>
      </c>
      <c r="K13" s="17" t="s">
        <v>147</v>
      </c>
      <c r="L13" s="17" t="s">
        <v>73</v>
      </c>
      <c r="M13" s="20">
        <v>42</v>
      </c>
      <c r="N13" s="20">
        <v>86</v>
      </c>
      <c r="O13" s="22" t="s">
        <v>75</v>
      </c>
      <c r="P13" s="22" t="s">
        <v>345</v>
      </c>
      <c r="Q13" s="20">
        <v>5</v>
      </c>
      <c r="R13" s="22" t="s">
        <v>346</v>
      </c>
      <c r="S13" s="20">
        <v>0.91600000000000004</v>
      </c>
      <c r="T13" s="22" t="s">
        <v>348</v>
      </c>
      <c r="U13" s="22" t="s">
        <v>346</v>
      </c>
      <c r="V13" s="20">
        <v>8</v>
      </c>
      <c r="W13" s="20">
        <v>0.84199999999999997</v>
      </c>
      <c r="X13" s="20">
        <v>0.47799999999999998</v>
      </c>
      <c r="Y13" s="21">
        <f t="shared" si="0"/>
        <v>0.54428217804566437</v>
      </c>
    </row>
    <row r="14" spans="1:25" ht="26" x14ac:dyDescent="0.3">
      <c r="A14" s="17" t="s">
        <v>353</v>
      </c>
      <c r="B14" s="23">
        <v>2014</v>
      </c>
      <c r="C14" s="17" t="s">
        <v>354</v>
      </c>
      <c r="D14" s="20">
        <v>30</v>
      </c>
      <c r="E14" s="20">
        <v>286</v>
      </c>
      <c r="F14" s="20">
        <v>35.9</v>
      </c>
      <c r="G14" s="17" t="s">
        <v>44</v>
      </c>
      <c r="H14" s="21">
        <v>68.208545454545444</v>
      </c>
      <c r="I14" s="21">
        <v>18.364705882352943</v>
      </c>
      <c r="J14" s="23">
        <v>2012</v>
      </c>
      <c r="K14" s="17" t="s">
        <v>192</v>
      </c>
      <c r="L14" s="17" t="s">
        <v>94</v>
      </c>
      <c r="M14" s="20">
        <v>50</v>
      </c>
      <c r="N14" s="20">
        <v>36</v>
      </c>
      <c r="O14" s="22" t="s">
        <v>75</v>
      </c>
      <c r="P14" s="22" t="s">
        <v>79</v>
      </c>
      <c r="Q14" s="20">
        <v>16</v>
      </c>
      <c r="R14" s="22" t="s">
        <v>346</v>
      </c>
      <c r="S14" s="20">
        <v>0.78</v>
      </c>
      <c r="T14" s="22" t="s">
        <v>927</v>
      </c>
      <c r="U14" s="22" t="s">
        <v>346</v>
      </c>
      <c r="V14" s="20">
        <v>5</v>
      </c>
      <c r="W14" s="20">
        <v>0.89</v>
      </c>
      <c r="X14" s="20">
        <v>0.41599999999999998</v>
      </c>
      <c r="Y14" s="21">
        <f t="shared" si="0"/>
        <v>0.49928788240163469</v>
      </c>
    </row>
    <row r="15" spans="1:25" ht="26" x14ac:dyDescent="0.3">
      <c r="A15" s="17" t="s">
        <v>365</v>
      </c>
      <c r="B15" s="23">
        <v>2020</v>
      </c>
      <c r="C15" s="17" t="s">
        <v>366</v>
      </c>
      <c r="D15" s="21">
        <v>54.608695652173914</v>
      </c>
      <c r="E15" s="20">
        <v>214</v>
      </c>
      <c r="F15" s="20">
        <v>21.4</v>
      </c>
      <c r="G15" s="17" t="s">
        <v>44</v>
      </c>
      <c r="H15" s="21">
        <v>68.208545454545444</v>
      </c>
      <c r="I15" s="21">
        <v>18.364705882352943</v>
      </c>
      <c r="J15" s="23">
        <v>2018</v>
      </c>
      <c r="K15" s="17" t="s">
        <v>192</v>
      </c>
      <c r="L15" s="17" t="s">
        <v>94</v>
      </c>
      <c r="M15" s="20">
        <v>50</v>
      </c>
      <c r="N15" s="20">
        <v>36</v>
      </c>
      <c r="O15" s="22" t="s">
        <v>75</v>
      </c>
      <c r="P15" s="22" t="s">
        <v>79</v>
      </c>
      <c r="Q15" s="20">
        <v>15</v>
      </c>
      <c r="R15" s="22" t="s">
        <v>346</v>
      </c>
      <c r="S15" s="20">
        <v>0.89700000000000002</v>
      </c>
      <c r="T15" s="22" t="s">
        <v>348</v>
      </c>
      <c r="U15" s="22" t="s">
        <v>591</v>
      </c>
      <c r="V15" s="20">
        <v>10</v>
      </c>
      <c r="W15" s="20">
        <v>0.89700000000000002</v>
      </c>
      <c r="X15" s="20">
        <v>0.30499999999999999</v>
      </c>
      <c r="Y15" s="21">
        <f t="shared" si="0"/>
        <v>0.34002229654403565</v>
      </c>
    </row>
    <row r="16" spans="1:25" ht="26" x14ac:dyDescent="0.3">
      <c r="A16" s="17" t="s">
        <v>375</v>
      </c>
      <c r="B16" s="23">
        <v>2017</v>
      </c>
      <c r="C16" s="17" t="s">
        <v>376</v>
      </c>
      <c r="D16" s="21">
        <v>54.608695652173914</v>
      </c>
      <c r="E16" s="20">
        <v>111</v>
      </c>
      <c r="F16" s="20">
        <v>74</v>
      </c>
      <c r="G16" s="17" t="s">
        <v>44</v>
      </c>
      <c r="H16" s="21">
        <v>68.208545454545444</v>
      </c>
      <c r="I16" s="21">
        <v>18.364705882352943</v>
      </c>
      <c r="J16" s="23">
        <v>2015</v>
      </c>
      <c r="K16" s="17" t="s">
        <v>192</v>
      </c>
      <c r="L16" s="17" t="s">
        <v>94</v>
      </c>
      <c r="M16" s="20">
        <v>50</v>
      </c>
      <c r="N16" s="20">
        <v>36</v>
      </c>
      <c r="O16" s="22" t="s">
        <v>75</v>
      </c>
      <c r="P16" s="22" t="s">
        <v>117</v>
      </c>
      <c r="Q16" s="20">
        <v>15</v>
      </c>
      <c r="R16" s="22" t="s">
        <v>346</v>
      </c>
      <c r="S16" s="20">
        <v>0.83</v>
      </c>
      <c r="T16" s="22" t="s">
        <v>348</v>
      </c>
      <c r="U16" s="22" t="s">
        <v>346</v>
      </c>
      <c r="V16" s="20">
        <v>4</v>
      </c>
      <c r="W16" s="20">
        <v>0.85</v>
      </c>
      <c r="X16" s="20">
        <v>0.46</v>
      </c>
      <c r="Y16" s="21">
        <f t="shared" si="0"/>
        <v>0.54765785694885927</v>
      </c>
    </row>
    <row r="17" spans="1:25" ht="26" x14ac:dyDescent="0.3">
      <c r="A17" s="17" t="s">
        <v>389</v>
      </c>
      <c r="B17" s="23">
        <v>2020</v>
      </c>
      <c r="C17" s="17" t="s">
        <v>390</v>
      </c>
      <c r="D17" s="21">
        <v>54.608695652173914</v>
      </c>
      <c r="E17" s="20">
        <v>165</v>
      </c>
      <c r="F17" s="20">
        <v>62.98</v>
      </c>
      <c r="G17" s="17" t="s">
        <v>44</v>
      </c>
      <c r="H17" s="21">
        <v>68.208545454545444</v>
      </c>
      <c r="I17" s="21">
        <v>18.364705882352943</v>
      </c>
      <c r="J17" s="23">
        <v>2018</v>
      </c>
      <c r="K17" s="17" t="s">
        <v>397</v>
      </c>
      <c r="L17" s="17" t="s">
        <v>398</v>
      </c>
      <c r="M17" s="20">
        <v>69</v>
      </c>
      <c r="N17" s="20">
        <v>82</v>
      </c>
      <c r="O17" s="22" t="s">
        <v>75</v>
      </c>
      <c r="P17" s="22" t="s">
        <v>117</v>
      </c>
      <c r="Q17" s="20">
        <v>9</v>
      </c>
      <c r="R17" s="22" t="s">
        <v>591</v>
      </c>
      <c r="S17" s="20">
        <v>0.90100000000000002</v>
      </c>
      <c r="T17" s="22" t="s">
        <v>222</v>
      </c>
      <c r="U17" s="22" t="s">
        <v>591</v>
      </c>
      <c r="V17" s="20">
        <v>4</v>
      </c>
      <c r="W17" s="20">
        <v>0.78900000000000003</v>
      </c>
      <c r="X17" s="20">
        <v>0.47199999999999998</v>
      </c>
      <c r="Y17" s="21">
        <f t="shared" si="0"/>
        <v>0.55981057934548395</v>
      </c>
    </row>
    <row r="18" spans="1:25" ht="26" x14ac:dyDescent="0.3">
      <c r="A18" s="17" t="s">
        <v>435</v>
      </c>
      <c r="B18" s="23">
        <v>2021</v>
      </c>
      <c r="C18" s="17" t="s">
        <v>65</v>
      </c>
      <c r="D18" s="20">
        <v>46</v>
      </c>
      <c r="E18" s="20">
        <v>237</v>
      </c>
      <c r="F18" s="20">
        <v>23.7</v>
      </c>
      <c r="G18" s="17" t="s">
        <v>44</v>
      </c>
      <c r="H18" s="20">
        <v>49.83</v>
      </c>
      <c r="I18" s="21">
        <v>18.364705882352943</v>
      </c>
      <c r="J18" s="23">
        <v>2019</v>
      </c>
      <c r="K18" s="17" t="s">
        <v>440</v>
      </c>
      <c r="L18" s="17" t="s">
        <v>94</v>
      </c>
      <c r="M18" s="20">
        <v>39</v>
      </c>
      <c r="N18" s="20">
        <v>85</v>
      </c>
      <c r="O18" s="22" t="s">
        <v>51</v>
      </c>
      <c r="P18" s="22" t="s">
        <v>220</v>
      </c>
      <c r="Q18" s="20">
        <v>3</v>
      </c>
      <c r="R18" s="22" t="s">
        <v>346</v>
      </c>
      <c r="S18" s="20">
        <v>0.877</v>
      </c>
      <c r="T18" s="22" t="s">
        <v>348</v>
      </c>
      <c r="U18" s="22" t="s">
        <v>346</v>
      </c>
      <c r="V18" s="20">
        <v>3</v>
      </c>
      <c r="W18" s="20">
        <v>0.89</v>
      </c>
      <c r="X18" s="20">
        <v>0.23200000000000001</v>
      </c>
      <c r="Y18" s="21">
        <f t="shared" si="0"/>
        <v>0.26259907072079114</v>
      </c>
    </row>
    <row r="19" spans="1:25" ht="26" x14ac:dyDescent="0.3">
      <c r="A19" s="17" t="s">
        <v>447</v>
      </c>
      <c r="B19" s="23">
        <v>2022</v>
      </c>
      <c r="C19" s="17" t="s">
        <v>448</v>
      </c>
      <c r="D19" s="20">
        <v>63</v>
      </c>
      <c r="E19" s="20">
        <v>343</v>
      </c>
      <c r="F19" s="20">
        <v>11.4</v>
      </c>
      <c r="G19" s="17" t="s">
        <v>44</v>
      </c>
      <c r="H19" s="20">
        <v>65.12</v>
      </c>
      <c r="I19" s="20">
        <v>16.61</v>
      </c>
      <c r="J19" s="23">
        <v>2020</v>
      </c>
      <c r="K19" s="17" t="s">
        <v>71</v>
      </c>
      <c r="L19" s="17" t="s">
        <v>455</v>
      </c>
      <c r="M19" s="20">
        <v>59.5</v>
      </c>
      <c r="N19" s="20">
        <v>50</v>
      </c>
      <c r="O19" s="22" t="s">
        <v>51</v>
      </c>
      <c r="P19" s="22" t="s">
        <v>117</v>
      </c>
      <c r="Q19" s="20">
        <v>13</v>
      </c>
      <c r="R19" s="22" t="s">
        <v>346</v>
      </c>
      <c r="S19" s="20">
        <v>0.93</v>
      </c>
      <c r="T19" s="22" t="s">
        <v>459</v>
      </c>
      <c r="U19" s="22" t="s">
        <v>591</v>
      </c>
      <c r="V19" s="20">
        <v>5</v>
      </c>
      <c r="W19" s="20">
        <v>0.91</v>
      </c>
      <c r="X19" s="20">
        <v>0.56599999999999995</v>
      </c>
      <c r="Y19" s="21">
        <f t="shared" si="0"/>
        <v>0.61525373770743408</v>
      </c>
    </row>
    <row r="20" spans="1:25" ht="26" x14ac:dyDescent="0.3">
      <c r="A20" s="17" t="s">
        <v>464</v>
      </c>
      <c r="B20" s="23">
        <v>2019</v>
      </c>
      <c r="C20" s="17" t="s">
        <v>465</v>
      </c>
      <c r="D20" s="20">
        <v>49</v>
      </c>
      <c r="E20" s="20">
        <v>164</v>
      </c>
      <c r="F20" s="20">
        <v>63</v>
      </c>
      <c r="G20" s="17" t="s">
        <v>44</v>
      </c>
      <c r="H20" s="20">
        <v>35</v>
      </c>
      <c r="I20" s="20">
        <v>28</v>
      </c>
      <c r="J20" s="23">
        <v>2016</v>
      </c>
      <c r="K20" s="17" t="s">
        <v>471</v>
      </c>
      <c r="L20" s="17" t="s">
        <v>455</v>
      </c>
      <c r="M20" s="20">
        <v>58</v>
      </c>
      <c r="N20" s="20">
        <v>49</v>
      </c>
      <c r="O20" s="22" t="s">
        <v>75</v>
      </c>
      <c r="P20" s="22" t="s">
        <v>474</v>
      </c>
      <c r="Q20" s="20">
        <v>5</v>
      </c>
      <c r="R20" s="22" t="s">
        <v>346</v>
      </c>
      <c r="S20" s="20">
        <v>0.93</v>
      </c>
      <c r="T20" s="22" t="s">
        <v>476</v>
      </c>
      <c r="U20" s="22" t="s">
        <v>346</v>
      </c>
      <c r="V20" s="20">
        <v>11</v>
      </c>
      <c r="W20" s="20">
        <v>0.95</v>
      </c>
      <c r="X20" s="20">
        <v>0.53</v>
      </c>
      <c r="Y20" s="21">
        <f t="shared" si="0"/>
        <v>0.56386169520425766</v>
      </c>
    </row>
    <row r="21" spans="1:25" ht="26" x14ac:dyDescent="0.3">
      <c r="A21" s="17" t="s">
        <v>545</v>
      </c>
      <c r="B21" s="23">
        <v>2024</v>
      </c>
      <c r="C21" s="17" t="s">
        <v>107</v>
      </c>
      <c r="D21" s="21">
        <v>54.608695652173914</v>
      </c>
      <c r="E21" s="20">
        <v>246</v>
      </c>
      <c r="F21" s="20">
        <v>47.5</v>
      </c>
      <c r="G21" s="17" t="s">
        <v>44</v>
      </c>
      <c r="H21" s="21">
        <v>68.208545454545444</v>
      </c>
      <c r="I21" s="20">
        <v>8.2899999999999991</v>
      </c>
      <c r="J21" s="23">
        <v>2022</v>
      </c>
      <c r="K21" s="17" t="s">
        <v>536</v>
      </c>
      <c r="L21" s="17" t="s">
        <v>49</v>
      </c>
      <c r="M21" s="20">
        <v>35</v>
      </c>
      <c r="N21" s="20">
        <v>70</v>
      </c>
      <c r="O21" s="22" t="s">
        <v>51</v>
      </c>
      <c r="P21" s="22" t="s">
        <v>555</v>
      </c>
      <c r="Q21" s="20">
        <v>4</v>
      </c>
      <c r="R21" s="22" t="s">
        <v>346</v>
      </c>
      <c r="S21" s="20">
        <v>0.86099999999999999</v>
      </c>
      <c r="T21" s="22" t="s">
        <v>557</v>
      </c>
      <c r="U21" s="22" t="s">
        <v>346</v>
      </c>
      <c r="V21" s="20">
        <v>10</v>
      </c>
      <c r="W21" s="20">
        <v>0.74399999999999999</v>
      </c>
      <c r="X21" s="21">
        <v>0.36644736842105258</v>
      </c>
      <c r="Y21" s="21">
        <f t="shared" si="0"/>
        <v>0.45785036393003881</v>
      </c>
    </row>
    <row r="22" spans="1:25" ht="26" x14ac:dyDescent="0.3">
      <c r="A22" s="17" t="s">
        <v>563</v>
      </c>
      <c r="B22" s="23">
        <v>2024</v>
      </c>
      <c r="C22" s="17" t="s">
        <v>564</v>
      </c>
      <c r="D22" s="20">
        <v>41</v>
      </c>
      <c r="E22" s="20">
        <v>300</v>
      </c>
      <c r="F22" s="20">
        <v>75</v>
      </c>
      <c r="G22" s="17" t="s">
        <v>44</v>
      </c>
      <c r="H22" s="21">
        <v>68.208545454545444</v>
      </c>
      <c r="I22" s="20">
        <v>33.950000000000003</v>
      </c>
      <c r="J22" s="23">
        <v>2021</v>
      </c>
      <c r="K22" s="17" t="s">
        <v>571</v>
      </c>
      <c r="L22" s="17" t="s">
        <v>73</v>
      </c>
      <c r="M22" s="20">
        <v>31</v>
      </c>
      <c r="N22" s="20">
        <v>99</v>
      </c>
      <c r="O22" s="22" t="s">
        <v>75</v>
      </c>
      <c r="P22" s="22" t="s">
        <v>117</v>
      </c>
      <c r="Q22" s="20">
        <v>10</v>
      </c>
      <c r="R22" s="22" t="s">
        <v>346</v>
      </c>
      <c r="S22" s="20">
        <v>0.89200000000000002</v>
      </c>
      <c r="T22" s="22" t="s">
        <v>576</v>
      </c>
      <c r="U22" s="22" t="s">
        <v>346</v>
      </c>
      <c r="V22" s="20">
        <v>4</v>
      </c>
      <c r="W22" s="20">
        <v>0.86599999999999999</v>
      </c>
      <c r="X22" s="20">
        <v>0.62</v>
      </c>
      <c r="Y22" s="21">
        <f t="shared" si="0"/>
        <v>0.70542413824735672</v>
      </c>
    </row>
    <row r="23" spans="1:25" ht="39" x14ac:dyDescent="0.3">
      <c r="A23" s="17" t="s">
        <v>593</v>
      </c>
      <c r="B23" s="23">
        <v>2015</v>
      </c>
      <c r="C23" s="17" t="s">
        <v>594</v>
      </c>
      <c r="D23" s="21">
        <v>54.608695652173914</v>
      </c>
      <c r="E23" s="20">
        <v>128</v>
      </c>
      <c r="F23" s="20">
        <v>18.05</v>
      </c>
      <c r="G23" s="17" t="s">
        <v>44</v>
      </c>
      <c r="H23" s="21">
        <v>68.208545454545444</v>
      </c>
      <c r="I23" s="21">
        <v>18.364705882352943</v>
      </c>
      <c r="J23" s="23">
        <v>2007</v>
      </c>
      <c r="K23" s="17" t="s">
        <v>928</v>
      </c>
      <c r="L23" s="17" t="s">
        <v>73</v>
      </c>
      <c r="M23" s="20">
        <v>66</v>
      </c>
      <c r="N23" s="20">
        <v>35</v>
      </c>
      <c r="O23" s="22" t="s">
        <v>75</v>
      </c>
      <c r="P23" s="22" t="s">
        <v>602</v>
      </c>
      <c r="Q23" s="20">
        <v>8</v>
      </c>
      <c r="R23" s="22" t="s">
        <v>591</v>
      </c>
      <c r="S23" s="20">
        <v>0.83699999999999997</v>
      </c>
      <c r="T23" s="22" t="s">
        <v>605</v>
      </c>
      <c r="U23" s="22" t="s">
        <v>346</v>
      </c>
      <c r="V23" s="20">
        <v>3</v>
      </c>
      <c r="W23" s="20">
        <v>0.83399999999999996</v>
      </c>
      <c r="X23" s="20">
        <v>0.39900000000000002</v>
      </c>
      <c r="Y23" s="21">
        <f t="shared" si="0"/>
        <v>0.47755911793350303</v>
      </c>
    </row>
    <row r="24" spans="1:25" ht="26" x14ac:dyDescent="0.3">
      <c r="A24" s="17" t="s">
        <v>608</v>
      </c>
      <c r="B24" s="23">
        <v>2023</v>
      </c>
      <c r="C24" s="17" t="s">
        <v>609</v>
      </c>
      <c r="D24" s="21">
        <v>54.608695652173914</v>
      </c>
      <c r="E24" s="20">
        <v>502</v>
      </c>
      <c r="F24" s="20">
        <v>10</v>
      </c>
      <c r="G24" s="17" t="s">
        <v>44</v>
      </c>
      <c r="H24" s="20">
        <v>88.07</v>
      </c>
      <c r="I24" s="20">
        <v>15.87</v>
      </c>
      <c r="J24" s="23">
        <v>2021</v>
      </c>
      <c r="K24" s="17" t="s">
        <v>614</v>
      </c>
      <c r="L24" s="17" t="s">
        <v>616</v>
      </c>
      <c r="M24" s="20">
        <v>64</v>
      </c>
      <c r="N24" s="20">
        <v>80</v>
      </c>
      <c r="O24" s="22" t="s">
        <v>133</v>
      </c>
      <c r="P24" s="22" t="s">
        <v>117</v>
      </c>
      <c r="Q24" s="20">
        <v>14</v>
      </c>
      <c r="R24" s="22" t="s">
        <v>591</v>
      </c>
      <c r="S24" s="20">
        <v>0.94399999999999995</v>
      </c>
      <c r="T24" s="22" t="s">
        <v>459</v>
      </c>
      <c r="U24" s="22" t="s">
        <v>346</v>
      </c>
      <c r="V24" s="20">
        <v>7</v>
      </c>
      <c r="W24" s="20">
        <v>0.96499999999999997</v>
      </c>
      <c r="X24" s="20">
        <v>0.26100000000000001</v>
      </c>
      <c r="Y24" s="21">
        <f t="shared" si="0"/>
        <v>0.27345813875051861</v>
      </c>
    </row>
    <row r="25" spans="1:25" ht="26" x14ac:dyDescent="0.3">
      <c r="A25" s="17" t="s">
        <v>622</v>
      </c>
      <c r="B25" s="23">
        <v>2012</v>
      </c>
      <c r="C25" s="17" t="s">
        <v>227</v>
      </c>
      <c r="D25" s="20">
        <v>61</v>
      </c>
      <c r="E25" s="20">
        <v>271</v>
      </c>
      <c r="F25" s="20">
        <v>18.5</v>
      </c>
      <c r="G25" s="17" t="s">
        <v>44</v>
      </c>
      <c r="H25" s="20">
        <v>28.8</v>
      </c>
      <c r="I25" s="21">
        <v>18.364705882352943</v>
      </c>
      <c r="J25" s="23">
        <v>2006</v>
      </c>
      <c r="K25" s="17" t="s">
        <v>440</v>
      </c>
      <c r="L25" s="17" t="s">
        <v>94</v>
      </c>
      <c r="M25" s="20">
        <v>39</v>
      </c>
      <c r="N25" s="20">
        <v>85</v>
      </c>
      <c r="O25" s="22" t="s">
        <v>75</v>
      </c>
      <c r="P25" s="22" t="s">
        <v>117</v>
      </c>
      <c r="Q25" s="20">
        <v>1</v>
      </c>
      <c r="R25" s="22" t="s">
        <v>591</v>
      </c>
      <c r="S25" s="20">
        <v>0.83797222222222223</v>
      </c>
      <c r="T25" s="22" t="s">
        <v>476</v>
      </c>
      <c r="U25" s="22" t="s">
        <v>591</v>
      </c>
      <c r="V25" s="20">
        <v>1</v>
      </c>
      <c r="W25" s="21">
        <v>0.85372727272727278</v>
      </c>
      <c r="X25" s="20">
        <v>-0.01</v>
      </c>
      <c r="Y25" s="21">
        <f t="shared" si="0"/>
        <v>-1.1822943415007132E-2</v>
      </c>
    </row>
    <row r="26" spans="1:25" ht="26" x14ac:dyDescent="0.3">
      <c r="A26" s="17" t="s">
        <v>635</v>
      </c>
      <c r="B26" s="23">
        <v>2017</v>
      </c>
      <c r="C26" s="17" t="s">
        <v>594</v>
      </c>
      <c r="D26" s="21">
        <v>54.608695652173914</v>
      </c>
      <c r="E26" s="20">
        <v>411</v>
      </c>
      <c r="F26" s="24">
        <v>33.492366666666662</v>
      </c>
      <c r="G26" s="17" t="s">
        <v>44</v>
      </c>
      <c r="H26" s="20">
        <v>9.77</v>
      </c>
      <c r="I26" s="20">
        <v>18.73</v>
      </c>
      <c r="J26" s="23">
        <v>2013</v>
      </c>
      <c r="K26" s="17" t="s">
        <v>217</v>
      </c>
      <c r="L26" s="17" t="s">
        <v>73</v>
      </c>
      <c r="M26" s="20">
        <v>70</v>
      </c>
      <c r="N26" s="20">
        <v>75</v>
      </c>
      <c r="O26" s="22" t="s">
        <v>75</v>
      </c>
      <c r="P26" s="22" t="s">
        <v>117</v>
      </c>
      <c r="Q26" s="20">
        <v>1</v>
      </c>
      <c r="R26" s="22" t="s">
        <v>591</v>
      </c>
      <c r="S26" s="21">
        <v>0.83797222222222223</v>
      </c>
      <c r="T26" s="22" t="s">
        <v>459</v>
      </c>
      <c r="U26" s="22" t="s">
        <v>346</v>
      </c>
      <c r="V26" s="20">
        <v>3</v>
      </c>
      <c r="W26" s="20">
        <v>0.88</v>
      </c>
      <c r="X26" s="20">
        <v>0.05</v>
      </c>
      <c r="Y26" s="21">
        <f t="shared" si="0"/>
        <v>5.8225584511510685E-2</v>
      </c>
    </row>
    <row r="27" spans="1:25" ht="39" x14ac:dyDescent="0.3">
      <c r="A27" s="17" t="s">
        <v>662</v>
      </c>
      <c r="B27" s="23">
        <v>2020</v>
      </c>
      <c r="C27" s="17" t="s">
        <v>663</v>
      </c>
      <c r="D27" s="21">
        <v>54.608695652173914</v>
      </c>
      <c r="E27" s="20">
        <v>226</v>
      </c>
      <c r="F27" s="20">
        <v>58.54</v>
      </c>
      <c r="G27" s="17" t="s">
        <v>44</v>
      </c>
      <c r="H27" s="20">
        <v>89.58</v>
      </c>
      <c r="I27" s="21">
        <v>18.364705882352943</v>
      </c>
      <c r="J27" s="23">
        <v>2018</v>
      </c>
      <c r="K27" s="17" t="s">
        <v>668</v>
      </c>
      <c r="L27" s="17" t="s">
        <v>94</v>
      </c>
      <c r="M27" s="20">
        <v>10</v>
      </c>
      <c r="N27" s="20">
        <v>45</v>
      </c>
      <c r="O27" s="22" t="s">
        <v>51</v>
      </c>
      <c r="P27" s="22" t="s">
        <v>117</v>
      </c>
      <c r="Q27" s="20">
        <v>11</v>
      </c>
      <c r="R27" s="22" t="s">
        <v>346</v>
      </c>
      <c r="S27" s="20">
        <v>0.95</v>
      </c>
      <c r="T27" s="22" t="s">
        <v>348</v>
      </c>
      <c r="U27" s="22" t="s">
        <v>346</v>
      </c>
      <c r="V27" s="20">
        <v>4</v>
      </c>
      <c r="W27" s="20">
        <v>0.78</v>
      </c>
      <c r="X27" s="20">
        <v>0.46</v>
      </c>
      <c r="Y27" s="21">
        <f t="shared" si="0"/>
        <v>0.53437819377394757</v>
      </c>
    </row>
    <row r="28" spans="1:25" ht="52" x14ac:dyDescent="0.3">
      <c r="A28" s="17" t="s">
        <v>675</v>
      </c>
      <c r="B28" s="23">
        <v>2015</v>
      </c>
      <c r="C28" s="17" t="s">
        <v>676</v>
      </c>
      <c r="D28" s="21">
        <v>54.608695652173914</v>
      </c>
      <c r="E28" s="20">
        <v>588</v>
      </c>
      <c r="F28" s="20">
        <v>19.600000000000001</v>
      </c>
      <c r="G28" s="17" t="s">
        <v>44</v>
      </c>
      <c r="H28" s="20">
        <v>51</v>
      </c>
      <c r="I28" s="21">
        <v>18.364705882352943</v>
      </c>
      <c r="J28" s="23">
        <v>2013</v>
      </c>
      <c r="K28" s="17" t="s">
        <v>680</v>
      </c>
      <c r="L28" s="17" t="s">
        <v>398</v>
      </c>
      <c r="M28" s="20">
        <v>52</v>
      </c>
      <c r="N28" s="20">
        <v>48</v>
      </c>
      <c r="O28" s="22" t="s">
        <v>75</v>
      </c>
      <c r="P28" s="22" t="s">
        <v>681</v>
      </c>
      <c r="Q28" s="20">
        <v>3</v>
      </c>
      <c r="R28" s="22" t="s">
        <v>591</v>
      </c>
      <c r="S28" s="20">
        <v>0.8</v>
      </c>
      <c r="T28" s="22" t="s">
        <v>683</v>
      </c>
      <c r="U28" s="22" t="s">
        <v>591</v>
      </c>
      <c r="V28" s="20">
        <v>1</v>
      </c>
      <c r="W28" s="21">
        <v>0.85372727272727278</v>
      </c>
      <c r="X28" s="20">
        <v>0.44</v>
      </c>
      <c r="Y28" s="21">
        <f t="shared" si="0"/>
        <v>0.53241233081237405</v>
      </c>
    </row>
    <row r="29" spans="1:25" ht="65" x14ac:dyDescent="0.3">
      <c r="A29" s="17" t="s">
        <v>686</v>
      </c>
      <c r="B29" s="23">
        <v>2016</v>
      </c>
      <c r="C29" s="17" t="s">
        <v>687</v>
      </c>
      <c r="D29" s="21">
        <v>54.608695652173914</v>
      </c>
      <c r="E29" s="20">
        <v>588</v>
      </c>
      <c r="F29" s="20">
        <v>19.600000000000001</v>
      </c>
      <c r="G29" s="17" t="s">
        <v>44</v>
      </c>
      <c r="H29" s="20">
        <v>51</v>
      </c>
      <c r="I29" s="21">
        <v>18.364705882352943</v>
      </c>
      <c r="J29" s="23">
        <v>2014</v>
      </c>
      <c r="K29" s="17" t="s">
        <v>680</v>
      </c>
      <c r="L29" s="17" t="s">
        <v>398</v>
      </c>
      <c r="M29" s="20">
        <v>52</v>
      </c>
      <c r="N29" s="20">
        <v>48</v>
      </c>
      <c r="O29" s="22" t="s">
        <v>75</v>
      </c>
      <c r="P29" s="22" t="s">
        <v>694</v>
      </c>
      <c r="Q29" s="20">
        <v>3</v>
      </c>
      <c r="R29" s="22" t="s">
        <v>591</v>
      </c>
      <c r="S29" s="21">
        <v>0.83797222222222223</v>
      </c>
      <c r="T29" s="22" t="s">
        <v>696</v>
      </c>
      <c r="U29" s="22" t="s">
        <v>591</v>
      </c>
      <c r="V29" s="20">
        <v>1</v>
      </c>
      <c r="W29" s="20">
        <v>0.85372727272727278</v>
      </c>
      <c r="X29" s="20">
        <v>0.06</v>
      </c>
      <c r="Y29" s="21">
        <f t="shared" si="0"/>
        <v>7.0937660490042784E-2</v>
      </c>
    </row>
    <row r="30" spans="1:25" ht="26" x14ac:dyDescent="0.3">
      <c r="A30" s="17" t="s">
        <v>701</v>
      </c>
      <c r="B30" s="23">
        <v>2010</v>
      </c>
      <c r="C30" s="17" t="s">
        <v>702</v>
      </c>
      <c r="D30" s="20">
        <v>63</v>
      </c>
      <c r="E30" s="20">
        <v>333</v>
      </c>
      <c r="F30" s="20">
        <v>17.7</v>
      </c>
      <c r="G30" s="17" t="s">
        <v>44</v>
      </c>
      <c r="H30" s="20">
        <v>102.87</v>
      </c>
      <c r="I30" s="20">
        <v>30.73</v>
      </c>
      <c r="J30" s="23">
        <v>2007</v>
      </c>
      <c r="K30" s="17" t="s">
        <v>440</v>
      </c>
      <c r="L30" s="17" t="s">
        <v>94</v>
      </c>
      <c r="M30" s="20">
        <v>39</v>
      </c>
      <c r="N30" s="20">
        <v>85</v>
      </c>
      <c r="O30" s="22" t="s">
        <v>133</v>
      </c>
      <c r="P30" s="22" t="s">
        <v>220</v>
      </c>
      <c r="Q30" s="20">
        <v>6</v>
      </c>
      <c r="R30" s="22" t="s">
        <v>346</v>
      </c>
      <c r="S30" s="20">
        <v>0.73099999999999998</v>
      </c>
      <c r="T30" s="22" t="s">
        <v>459</v>
      </c>
      <c r="U30" s="22" t="s">
        <v>346</v>
      </c>
      <c r="V30" s="20">
        <v>3</v>
      </c>
      <c r="W30" s="20">
        <v>0.88200000000000001</v>
      </c>
      <c r="X30" s="20">
        <v>-0.185</v>
      </c>
      <c r="Y30" s="21">
        <f t="shared" si="0"/>
        <v>-0.23039802256833136</v>
      </c>
    </row>
    <row r="31" spans="1:25" ht="26" x14ac:dyDescent="0.3">
      <c r="A31" s="17" t="s">
        <v>716</v>
      </c>
      <c r="B31" s="23">
        <v>2018</v>
      </c>
      <c r="C31" s="17" t="s">
        <v>564</v>
      </c>
      <c r="D31" s="20">
        <v>41</v>
      </c>
      <c r="E31" s="20">
        <v>247</v>
      </c>
      <c r="F31" s="20">
        <v>25</v>
      </c>
      <c r="G31" s="17" t="s">
        <v>718</v>
      </c>
      <c r="H31" s="21">
        <v>68.208545454545444</v>
      </c>
      <c r="I31" s="21">
        <v>18.364705882352943</v>
      </c>
      <c r="J31" s="23">
        <v>2016</v>
      </c>
      <c r="K31" s="17" t="s">
        <v>571</v>
      </c>
      <c r="L31" s="17" t="s">
        <v>73</v>
      </c>
      <c r="M31" s="20">
        <v>31</v>
      </c>
      <c r="N31" s="20">
        <v>99</v>
      </c>
      <c r="O31" s="22" t="s">
        <v>75</v>
      </c>
      <c r="P31" s="22" t="s">
        <v>163</v>
      </c>
      <c r="Q31" s="20">
        <v>9</v>
      </c>
      <c r="R31" s="22" t="s">
        <v>346</v>
      </c>
      <c r="S31" s="20">
        <v>0.78200000000000003</v>
      </c>
      <c r="T31" s="22" t="s">
        <v>266</v>
      </c>
      <c r="U31" s="22" t="s">
        <v>346</v>
      </c>
      <c r="V31" s="20">
        <v>5</v>
      </c>
      <c r="W31" s="20">
        <v>0.92700000000000005</v>
      </c>
      <c r="X31" s="20">
        <v>0.42799999999999999</v>
      </c>
      <c r="Y31" s="21">
        <f t="shared" si="0"/>
        <v>0.50269032352522947</v>
      </c>
    </row>
    <row r="32" spans="1:25" ht="26" x14ac:dyDescent="0.3">
      <c r="A32" s="17" t="s">
        <v>762</v>
      </c>
      <c r="B32" s="23">
        <v>2023</v>
      </c>
      <c r="C32" s="17" t="s">
        <v>763</v>
      </c>
      <c r="D32" s="21">
        <v>54.608695652173914</v>
      </c>
      <c r="E32" s="20">
        <v>192</v>
      </c>
      <c r="F32" s="20">
        <v>64</v>
      </c>
      <c r="G32" s="17" t="s">
        <v>44</v>
      </c>
      <c r="H32" s="21">
        <v>68.208545454545444</v>
      </c>
      <c r="I32" s="21">
        <v>18.364705882352943</v>
      </c>
      <c r="J32" s="23">
        <v>2021</v>
      </c>
      <c r="K32" s="17" t="s">
        <v>767</v>
      </c>
      <c r="L32" s="17" t="s">
        <v>94</v>
      </c>
      <c r="M32" s="20">
        <v>50</v>
      </c>
      <c r="N32" s="20">
        <v>70</v>
      </c>
      <c r="O32" s="22" t="s">
        <v>51</v>
      </c>
      <c r="P32" s="22" t="s">
        <v>163</v>
      </c>
      <c r="Q32" s="20">
        <v>6</v>
      </c>
      <c r="R32" s="22" t="s">
        <v>346</v>
      </c>
      <c r="S32" s="20">
        <v>0.7</v>
      </c>
      <c r="T32" s="22" t="s">
        <v>576</v>
      </c>
      <c r="U32" s="22" t="s">
        <v>346</v>
      </c>
      <c r="V32" s="20">
        <v>4</v>
      </c>
      <c r="W32" s="20">
        <v>0.7</v>
      </c>
      <c r="X32" s="20">
        <v>0.29799999999999999</v>
      </c>
      <c r="Y32" s="21">
        <f t="shared" si="0"/>
        <v>0.42571428571428571</v>
      </c>
    </row>
    <row r="33" spans="1:25" x14ac:dyDescent="0.3">
      <c r="A33" s="17" t="s">
        <v>778</v>
      </c>
      <c r="B33" s="23">
        <v>2013</v>
      </c>
      <c r="C33" s="17" t="s">
        <v>779</v>
      </c>
      <c r="D33" s="21">
        <v>54.608695652173914</v>
      </c>
      <c r="E33" s="20">
        <v>171</v>
      </c>
      <c r="F33" s="20">
        <v>17.100000000000001</v>
      </c>
      <c r="G33" s="17" t="s">
        <v>44</v>
      </c>
      <c r="H33" s="20">
        <v>33</v>
      </c>
      <c r="I33" s="20">
        <v>10.5</v>
      </c>
      <c r="J33" s="23">
        <v>2011</v>
      </c>
      <c r="K33" s="17" t="s">
        <v>782</v>
      </c>
      <c r="L33" s="17" t="s">
        <v>94</v>
      </c>
      <c r="M33" s="21">
        <v>48.256756756756758</v>
      </c>
      <c r="N33" s="21">
        <v>64.662162162162161</v>
      </c>
      <c r="O33" s="22" t="s">
        <v>75</v>
      </c>
      <c r="P33" s="22" t="s">
        <v>345</v>
      </c>
      <c r="Q33" s="20">
        <v>5</v>
      </c>
      <c r="R33" s="22" t="s">
        <v>346</v>
      </c>
      <c r="S33" s="20">
        <v>0.91</v>
      </c>
      <c r="T33" s="22" t="s">
        <v>740</v>
      </c>
      <c r="U33" s="22" t="s">
        <v>346</v>
      </c>
      <c r="V33" s="20">
        <v>3</v>
      </c>
      <c r="W33" s="20">
        <v>0.92</v>
      </c>
      <c r="X33" s="20">
        <v>0.85</v>
      </c>
      <c r="Y33" s="21">
        <f t="shared" si="0"/>
        <v>0.92897561859944511</v>
      </c>
    </row>
    <row r="34" spans="1:25" ht="26" x14ac:dyDescent="0.3">
      <c r="A34" s="17" t="s">
        <v>788</v>
      </c>
      <c r="B34" s="23">
        <v>2017</v>
      </c>
      <c r="C34" s="17" t="s">
        <v>65</v>
      </c>
      <c r="D34" s="20">
        <v>46</v>
      </c>
      <c r="E34" s="20">
        <v>251</v>
      </c>
      <c r="F34" s="20">
        <v>13.4</v>
      </c>
      <c r="G34" s="17" t="s">
        <v>44</v>
      </c>
      <c r="H34" s="20">
        <v>39</v>
      </c>
      <c r="I34" s="20">
        <v>41</v>
      </c>
      <c r="J34" s="23">
        <v>2015</v>
      </c>
      <c r="K34" s="17" t="s">
        <v>928</v>
      </c>
      <c r="L34" s="17" t="s">
        <v>73</v>
      </c>
      <c r="M34" s="20">
        <v>66</v>
      </c>
      <c r="N34" s="20">
        <v>35</v>
      </c>
      <c r="O34" s="22" t="s">
        <v>51</v>
      </c>
      <c r="P34" s="22" t="s">
        <v>793</v>
      </c>
      <c r="Q34" s="20">
        <v>3</v>
      </c>
      <c r="R34" s="22" t="s">
        <v>346</v>
      </c>
      <c r="S34" s="20">
        <v>0.83299999999999996</v>
      </c>
      <c r="T34" s="22" t="s">
        <v>476</v>
      </c>
      <c r="U34" s="22" t="s">
        <v>346</v>
      </c>
      <c r="V34" s="20">
        <v>3</v>
      </c>
      <c r="W34" s="20">
        <v>0.95599999999999996</v>
      </c>
      <c r="X34" s="20">
        <v>0.38100000000000001</v>
      </c>
      <c r="Y34" s="21">
        <f t="shared" si="0"/>
        <v>0.42694656995985603</v>
      </c>
    </row>
    <row r="35" spans="1:25" ht="26" x14ac:dyDescent="0.3">
      <c r="A35" s="17" t="s">
        <v>794</v>
      </c>
      <c r="B35" s="23">
        <v>2022</v>
      </c>
      <c r="C35" s="17" t="s">
        <v>795</v>
      </c>
      <c r="D35" s="21">
        <v>54.608695652173914</v>
      </c>
      <c r="E35" s="20">
        <v>189</v>
      </c>
      <c r="F35" s="20">
        <v>54.4</v>
      </c>
      <c r="G35" s="17" t="s">
        <v>44</v>
      </c>
      <c r="H35" s="21">
        <v>68.208545454545444</v>
      </c>
      <c r="I35" s="21">
        <v>18.364705882352943</v>
      </c>
      <c r="J35" s="23">
        <v>2020</v>
      </c>
      <c r="K35" s="17" t="s">
        <v>797</v>
      </c>
      <c r="L35" s="17" t="s">
        <v>94</v>
      </c>
      <c r="M35" s="20">
        <v>46</v>
      </c>
      <c r="N35" s="20">
        <v>48</v>
      </c>
      <c r="O35" s="22" t="s">
        <v>51</v>
      </c>
      <c r="P35" s="22" t="s">
        <v>163</v>
      </c>
      <c r="Q35" s="20">
        <v>3</v>
      </c>
      <c r="R35" s="22" t="s">
        <v>591</v>
      </c>
      <c r="S35" s="20">
        <v>0.88600000000000001</v>
      </c>
      <c r="T35" s="22" t="s">
        <v>222</v>
      </c>
      <c r="U35" s="22" t="s">
        <v>591</v>
      </c>
      <c r="V35" s="20">
        <v>2</v>
      </c>
      <c r="W35" s="20">
        <v>0.88200000000000001</v>
      </c>
      <c r="X35" s="20">
        <v>0.37</v>
      </c>
      <c r="Y35" s="21">
        <f t="shared" si="0"/>
        <v>0.41855310741396318</v>
      </c>
    </row>
    <row r="36" spans="1:25" ht="26" x14ac:dyDescent="0.3">
      <c r="A36" s="17" t="s">
        <v>803</v>
      </c>
      <c r="B36" s="23">
        <v>2015</v>
      </c>
      <c r="C36" s="17" t="s">
        <v>804</v>
      </c>
      <c r="D36" s="20">
        <v>71</v>
      </c>
      <c r="E36" s="20">
        <v>219</v>
      </c>
      <c r="F36" s="20">
        <v>53.7</v>
      </c>
      <c r="G36" s="17" t="s">
        <v>44</v>
      </c>
      <c r="H36" s="21">
        <v>68.208545454545444</v>
      </c>
      <c r="I36" s="20">
        <v>16.38</v>
      </c>
      <c r="J36" s="23">
        <v>2011</v>
      </c>
      <c r="K36" s="17" t="s">
        <v>440</v>
      </c>
      <c r="L36" s="17" t="s">
        <v>94</v>
      </c>
      <c r="M36" s="20">
        <v>39</v>
      </c>
      <c r="N36" s="20">
        <v>85</v>
      </c>
      <c r="O36" s="22" t="s">
        <v>75</v>
      </c>
      <c r="P36" s="22" t="s">
        <v>163</v>
      </c>
      <c r="Q36" s="20">
        <v>11</v>
      </c>
      <c r="R36" s="22" t="s">
        <v>591</v>
      </c>
      <c r="S36" s="20">
        <v>0.93300000000000005</v>
      </c>
      <c r="T36" s="22" t="s">
        <v>752</v>
      </c>
      <c r="U36" s="22" t="s">
        <v>591</v>
      </c>
      <c r="V36" s="20">
        <v>12</v>
      </c>
      <c r="W36" s="20">
        <v>0.95299999999999996</v>
      </c>
      <c r="X36" s="20">
        <v>0.45800000000000002</v>
      </c>
      <c r="Y36" s="21">
        <f t="shared" si="0"/>
        <v>0.48571129823896936</v>
      </c>
    </row>
    <row r="37" spans="1:25" ht="26" x14ac:dyDescent="0.3">
      <c r="A37" s="17" t="s">
        <v>826</v>
      </c>
      <c r="B37" s="23">
        <v>2019</v>
      </c>
      <c r="C37" s="17" t="s">
        <v>827</v>
      </c>
      <c r="D37" s="21">
        <v>54.608695652173914</v>
      </c>
      <c r="E37" s="20">
        <v>70</v>
      </c>
      <c r="F37" s="20">
        <v>56</v>
      </c>
      <c r="G37" s="17" t="s">
        <v>44</v>
      </c>
      <c r="H37" s="21">
        <v>68.208545454545444</v>
      </c>
      <c r="I37" s="21">
        <v>18.364705882352943</v>
      </c>
      <c r="J37" s="23">
        <v>2016</v>
      </c>
      <c r="K37" s="17" t="s">
        <v>797</v>
      </c>
      <c r="L37" s="17" t="s">
        <v>94</v>
      </c>
      <c r="M37" s="20">
        <v>46</v>
      </c>
      <c r="N37" s="20">
        <v>48</v>
      </c>
      <c r="O37" s="22" t="s">
        <v>75</v>
      </c>
      <c r="P37" s="22" t="s">
        <v>220</v>
      </c>
      <c r="Q37" s="20">
        <v>9</v>
      </c>
      <c r="R37" s="22" t="s">
        <v>346</v>
      </c>
      <c r="S37" s="20">
        <v>0.6</v>
      </c>
      <c r="T37" s="22" t="s">
        <v>222</v>
      </c>
      <c r="U37" s="22" t="s">
        <v>346</v>
      </c>
      <c r="V37" s="20">
        <v>3</v>
      </c>
      <c r="W37" s="20">
        <v>0.6</v>
      </c>
      <c r="X37" s="20">
        <v>0.152</v>
      </c>
      <c r="Y37" s="21">
        <f t="shared" si="0"/>
        <v>0.25333333333333335</v>
      </c>
    </row>
    <row r="38" spans="1:25" ht="26" x14ac:dyDescent="0.3">
      <c r="A38" s="17" t="s">
        <v>836</v>
      </c>
      <c r="B38" s="23">
        <v>2013</v>
      </c>
      <c r="C38" s="17" t="s">
        <v>837</v>
      </c>
      <c r="D38" s="20">
        <v>91</v>
      </c>
      <c r="E38" s="20">
        <v>285</v>
      </c>
      <c r="F38" s="20">
        <v>19</v>
      </c>
      <c r="G38" s="17" t="s">
        <v>44</v>
      </c>
      <c r="H38" s="20">
        <v>17.3</v>
      </c>
      <c r="I38" s="20">
        <v>3.16</v>
      </c>
      <c r="J38" s="23">
        <v>2007</v>
      </c>
      <c r="K38" s="17" t="s">
        <v>841</v>
      </c>
      <c r="L38" s="17" t="s">
        <v>73</v>
      </c>
      <c r="M38" s="20">
        <v>5</v>
      </c>
      <c r="N38" s="20">
        <v>29</v>
      </c>
      <c r="O38" s="22" t="s">
        <v>51</v>
      </c>
      <c r="P38" s="22" t="s">
        <v>163</v>
      </c>
      <c r="Q38" s="20">
        <v>15</v>
      </c>
      <c r="R38" s="22" t="s">
        <v>591</v>
      </c>
      <c r="S38" s="20">
        <v>0.83</v>
      </c>
      <c r="T38" s="22" t="s">
        <v>843</v>
      </c>
      <c r="U38" s="22" t="s">
        <v>591</v>
      </c>
      <c r="V38" s="20">
        <v>3</v>
      </c>
      <c r="W38" s="21">
        <v>0.85372727272727278</v>
      </c>
      <c r="X38" s="20">
        <v>0.32300000000000001</v>
      </c>
      <c r="Y38" s="21">
        <f t="shared" si="0"/>
        <v>0.38371068985956297</v>
      </c>
    </row>
    <row r="39" spans="1:25" ht="26" x14ac:dyDescent="0.3">
      <c r="A39" s="17" t="s">
        <v>859</v>
      </c>
      <c r="B39" s="23">
        <v>2020</v>
      </c>
      <c r="C39" s="17" t="s">
        <v>860</v>
      </c>
      <c r="D39" s="20">
        <v>97</v>
      </c>
      <c r="E39" s="20">
        <v>211</v>
      </c>
      <c r="F39" s="20">
        <v>21</v>
      </c>
      <c r="G39" s="17" t="s">
        <v>44</v>
      </c>
      <c r="H39" s="21">
        <v>68.208545454545444</v>
      </c>
      <c r="I39" s="21">
        <v>18.364705882352943</v>
      </c>
      <c r="J39" s="23">
        <v>2018</v>
      </c>
      <c r="K39" s="17" t="s">
        <v>202</v>
      </c>
      <c r="L39" s="17" t="s">
        <v>94</v>
      </c>
      <c r="M39" s="20">
        <v>45</v>
      </c>
      <c r="N39" s="20">
        <v>69</v>
      </c>
      <c r="O39" s="22" t="s">
        <v>75</v>
      </c>
      <c r="P39" s="22" t="s">
        <v>220</v>
      </c>
      <c r="Q39" s="20">
        <v>19</v>
      </c>
      <c r="R39" s="22" t="s">
        <v>346</v>
      </c>
      <c r="S39" s="20">
        <v>0.83199999999999996</v>
      </c>
      <c r="T39" s="22" t="s">
        <v>866</v>
      </c>
      <c r="U39" s="22" t="s">
        <v>346</v>
      </c>
      <c r="V39" s="20">
        <v>12</v>
      </c>
      <c r="W39" s="20">
        <v>0.77</v>
      </c>
      <c r="X39" s="5">
        <v>0.20799999999999999</v>
      </c>
      <c r="Y39" s="21">
        <f t="shared" si="0"/>
        <v>0.259870097418821</v>
      </c>
    </row>
    <row r="40" spans="1:25" ht="26" x14ac:dyDescent="0.3">
      <c r="A40" s="17" t="s">
        <v>871</v>
      </c>
      <c r="B40" s="23">
        <v>2020</v>
      </c>
      <c r="C40" s="17" t="s">
        <v>872</v>
      </c>
      <c r="D40" s="20">
        <v>46</v>
      </c>
      <c r="E40" s="20">
        <v>120</v>
      </c>
      <c r="F40" s="20">
        <v>35.1</v>
      </c>
      <c r="G40" s="17" t="s">
        <v>44</v>
      </c>
      <c r="H40" s="20">
        <v>43.8</v>
      </c>
      <c r="I40" s="20">
        <v>4.29</v>
      </c>
      <c r="J40" s="23">
        <v>2018</v>
      </c>
      <c r="K40" s="17" t="s">
        <v>440</v>
      </c>
      <c r="L40" s="17" t="s">
        <v>94</v>
      </c>
      <c r="M40" s="20">
        <v>39</v>
      </c>
      <c r="N40" s="20">
        <v>85</v>
      </c>
      <c r="O40" s="22" t="s">
        <v>51</v>
      </c>
      <c r="P40" s="22" t="s">
        <v>117</v>
      </c>
      <c r="Q40" s="20">
        <v>5</v>
      </c>
      <c r="R40" s="22" t="s">
        <v>346</v>
      </c>
      <c r="S40" s="20">
        <v>0.71</v>
      </c>
      <c r="T40" s="22" t="s">
        <v>880</v>
      </c>
      <c r="U40" s="22" t="s">
        <v>346</v>
      </c>
      <c r="V40" s="20">
        <v>7</v>
      </c>
      <c r="W40" s="20">
        <v>0.86</v>
      </c>
      <c r="X40" s="5">
        <v>0.25</v>
      </c>
      <c r="Y40" s="21">
        <f t="shared" si="0"/>
        <v>0.31993489347504589</v>
      </c>
    </row>
    <row r="43" spans="1:25" ht="52" x14ac:dyDescent="0.3">
      <c r="D43" s="18" t="s">
        <v>929</v>
      </c>
      <c r="E43" s="18" t="s">
        <v>941</v>
      </c>
      <c r="F43" s="18" t="s">
        <v>930</v>
      </c>
      <c r="H43" s="18" t="s">
        <v>931</v>
      </c>
      <c r="I43" s="18" t="s">
        <v>932</v>
      </c>
      <c r="J43" s="18" t="s">
        <v>933</v>
      </c>
      <c r="M43" s="18" t="s">
        <v>934</v>
      </c>
      <c r="N43" s="18" t="s">
        <v>935</v>
      </c>
      <c r="Q43" s="18" t="s">
        <v>936</v>
      </c>
      <c r="S43" s="18" t="s">
        <v>937</v>
      </c>
      <c r="V43" s="18" t="s">
        <v>938</v>
      </c>
      <c r="W43" s="18" t="s">
        <v>939</v>
      </c>
      <c r="X43" s="18" t="s">
        <v>940</v>
      </c>
    </row>
    <row r="44" spans="1:25" x14ac:dyDescent="0.3">
      <c r="D44" s="18">
        <f>AVERAGE(Table2[Journal eigenvalues])</f>
        <v>54.608695652173921</v>
      </c>
      <c r="E44" s="18">
        <f>AVERAGE(Table2[Sample size])</f>
        <v>256.69230769230768</v>
      </c>
      <c r="F44" s="18">
        <f>AVERAGE(Table2[response rate (%)])</f>
        <v>37.027874358974358</v>
      </c>
      <c r="H44" s="18">
        <f>AVERAGE(Table2[Firm size Numerized])</f>
        <v>65.290815850815832</v>
      </c>
      <c r="I44" s="18">
        <f>AVERAGE(Table2[Firm age (Weight. Avg)])</f>
        <v>18.364705882352943</v>
      </c>
      <c r="J44" s="18">
        <f>AVERAGE(Table2[Year of Data Collection])</f>
        <v>2014.3333333333333</v>
      </c>
      <c r="M44" s="18">
        <f>AVERAGE(Table2[Motivation Towards Success '[Hofstede']])</f>
        <v>48.256756756756751</v>
      </c>
      <c r="N44" s="18">
        <f>AVERAGE(Table2[Uncertainty Avoidance '[Hofstede']])</f>
        <v>64.662162162162161</v>
      </c>
      <c r="Q44" s="18">
        <f>AVERAGE(Table2[Absorptive Capacity (AC) '# of Items])</f>
        <v>8</v>
      </c>
      <c r="S44" s="18">
        <f>AVERAGE(Table2[Absorptive Capacity (AC) (α, CR)])</f>
        <v>0.83797222222222223</v>
      </c>
      <c r="V44" s="18">
        <f>AVERAGE(Table2[Perf Measure '# of items])</f>
        <v>4.7692307692307692</v>
      </c>
      <c r="W44" s="18">
        <f>AVERAGE(Table2[Perf (α, CR)])</f>
        <v>0.85091375291375304</v>
      </c>
      <c r="X44" s="18">
        <f>AVERAGE(Table2[AC - Perf Coeff. (Corr, ß)])</f>
        <v>0.36644736842105258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Last Screening</vt:lpstr>
      <vt:lpstr>Articles Selected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Farzad Zandi</dc:creator>
  <cp:keywords/>
  <dc:description/>
  <cp:lastModifiedBy>Farzad Zandi</cp:lastModifiedBy>
  <cp:revision/>
  <dcterms:created xsi:type="dcterms:W3CDTF">2015-06-05T18:17:20Z</dcterms:created>
  <dcterms:modified xsi:type="dcterms:W3CDTF">2025-07-03T10:03:08Z</dcterms:modified>
  <cp:category/>
  <cp:contentStatus/>
</cp:coreProperties>
</file>